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anss\Desktop\Project-X-Financial-Model\Project-X-Financial-Model\financial_model\"/>
    </mc:Choice>
  </mc:AlternateContent>
  <xr:revisionPtr revIDLastSave="0" documentId="8_{91C4D919-A67C-4103-B14F-4DF830FBB637}" xr6:coauthVersionLast="47" xr6:coauthVersionMax="47" xr10:uidLastSave="{00000000-0000-0000-0000-000000000000}"/>
  <bookViews>
    <workbookView xWindow="5970" yWindow="0" windowWidth="28800" windowHeight="11835" firstSheet="2" activeTab="8" xr2:uid="{00000000-000D-0000-FFFF-FFFF00000000}"/>
  </bookViews>
  <sheets>
    <sheet name="Cover" sheetId="1" r:id="rId1"/>
    <sheet name="Assumptions" sheetId="2" r:id="rId2"/>
    <sheet name="Monthly Model" sheetId="3" r:id="rId3"/>
    <sheet name="Annual Summary" sheetId="4" r:id="rId4"/>
    <sheet name="Unit Economics" sheetId="5" r:id="rId5"/>
    <sheet name="P&amp;L" sheetId="6" r:id="rId6"/>
    <sheet name="Cash Flow" sheetId="7" r:id="rId7"/>
    <sheet name="Valuation" sheetId="8" r:id="rId8"/>
    <sheet name="Sensitivity" sheetId="9" r:id="rId9"/>
    <sheet name="Dashboard" sheetId="10" r:id="rId10"/>
    <sheet name="README Not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" i="10" l="1"/>
  <c r="K7" i="10"/>
  <c r="E8" i="9"/>
  <c r="D8" i="9"/>
  <c r="C8" i="9"/>
  <c r="E7" i="9"/>
  <c r="D7" i="9"/>
  <c r="C7" i="9"/>
  <c r="E6" i="9"/>
  <c r="D6" i="9"/>
  <c r="C6" i="9"/>
  <c r="F6" i="7"/>
  <c r="E6" i="7"/>
  <c r="E9" i="5"/>
  <c r="D9" i="5"/>
  <c r="C9" i="5"/>
  <c r="E11" i="4"/>
  <c r="E6" i="4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C16" i="3"/>
  <c r="C17" i="3" s="1"/>
  <c r="C15" i="3"/>
  <c r="C10" i="3"/>
  <c r="C9" i="3"/>
  <c r="D8" i="3"/>
  <c r="C8" i="3"/>
  <c r="C7" i="3"/>
  <c r="C9" i="6" l="1"/>
  <c r="E9" i="6"/>
  <c r="D9" i="6"/>
  <c r="C20" i="3"/>
  <c r="C11" i="3"/>
  <c r="C12" i="3"/>
  <c r="C13" i="3" s="1"/>
  <c r="D9" i="3"/>
  <c r="D7" i="3" s="1"/>
  <c r="C14" i="3"/>
  <c r="D10" i="3" l="1"/>
  <c r="D12" i="3"/>
  <c r="D13" i="3" s="1"/>
  <c r="D14" i="3"/>
  <c r="D15" i="3"/>
  <c r="E8" i="3"/>
  <c r="D16" i="3"/>
  <c r="D17" i="3" s="1"/>
  <c r="E9" i="3"/>
  <c r="E7" i="3" s="1"/>
  <c r="C19" i="3"/>
  <c r="E10" i="3" l="1"/>
  <c r="F8" i="3"/>
  <c r="E16" i="3"/>
  <c r="E17" i="3" s="1"/>
  <c r="E12" i="3"/>
  <c r="E13" i="3" s="1"/>
  <c r="E14" i="3"/>
  <c r="E15" i="3"/>
  <c r="F9" i="3"/>
  <c r="C21" i="3"/>
  <c r="C23" i="3" s="1"/>
  <c r="D11" i="3"/>
  <c r="D19" i="3" s="1"/>
  <c r="D20" i="3"/>
  <c r="F7" i="3" l="1"/>
  <c r="F12" i="3"/>
  <c r="F13" i="3" s="1"/>
  <c r="G8" i="3"/>
  <c r="F16" i="3"/>
  <c r="F17" i="3" s="1"/>
  <c r="F14" i="3"/>
  <c r="F10" i="3"/>
  <c r="F15" i="3"/>
  <c r="G9" i="3"/>
  <c r="D21" i="3"/>
  <c r="D23" i="3" s="1"/>
  <c r="C25" i="3"/>
  <c r="C24" i="3"/>
  <c r="E11" i="3"/>
  <c r="E19" i="3" s="1"/>
  <c r="E20" i="3"/>
  <c r="E21" i="3" l="1"/>
  <c r="E23" i="3" s="1"/>
  <c r="G7" i="3"/>
  <c r="G10" i="3"/>
  <c r="H9" i="3"/>
  <c r="H8" i="3"/>
  <c r="H7" i="3" s="1"/>
  <c r="G16" i="3"/>
  <c r="G17" i="3" s="1"/>
  <c r="G12" i="3"/>
  <c r="G13" i="3" s="1"/>
  <c r="G15" i="3"/>
  <c r="G14" i="3"/>
  <c r="C26" i="3"/>
  <c r="E24" i="3"/>
  <c r="E25" i="3"/>
  <c r="D25" i="3"/>
  <c r="D24" i="3"/>
  <c r="F20" i="3"/>
  <c r="F11" i="3"/>
  <c r="F19" i="3" s="1"/>
  <c r="F21" i="3" s="1"/>
  <c r="F23" i="3" s="1"/>
  <c r="F24" i="3" l="1"/>
  <c r="F25" i="3"/>
  <c r="D26" i="3"/>
  <c r="E26" i="3" s="1"/>
  <c r="F26" i="3" s="1"/>
  <c r="H10" i="3"/>
  <c r="I9" i="3"/>
  <c r="H16" i="3"/>
  <c r="H17" i="3" s="1"/>
  <c r="H12" i="3"/>
  <c r="H13" i="3" s="1"/>
  <c r="H15" i="3"/>
  <c r="I8" i="3"/>
  <c r="I7" i="3" s="1"/>
  <c r="H14" i="3"/>
  <c r="G11" i="3"/>
  <c r="G19" i="3" s="1"/>
  <c r="G20" i="3"/>
  <c r="I10" i="3" l="1"/>
  <c r="I15" i="3"/>
  <c r="I12" i="3"/>
  <c r="I13" i="3" s="1"/>
  <c r="J8" i="3"/>
  <c r="I16" i="3"/>
  <c r="I17" i="3" s="1"/>
  <c r="J9" i="3"/>
  <c r="I14" i="3"/>
  <c r="G21" i="3"/>
  <c r="G23" i="3" s="1"/>
  <c r="H11" i="3"/>
  <c r="H19" i="3" s="1"/>
  <c r="H20" i="3"/>
  <c r="H21" i="3" l="1"/>
  <c r="H23" i="3" s="1"/>
  <c r="J7" i="3"/>
  <c r="K9" i="3"/>
  <c r="J15" i="3"/>
  <c r="J12" i="3"/>
  <c r="J13" i="3" s="1"/>
  <c r="J10" i="3"/>
  <c r="K8" i="3"/>
  <c r="K7" i="3" s="1"/>
  <c r="J16" i="3"/>
  <c r="J17" i="3" s="1"/>
  <c r="J14" i="3"/>
  <c r="H25" i="3"/>
  <c r="H24" i="3"/>
  <c r="G24" i="3"/>
  <c r="G25" i="3"/>
  <c r="G26" i="3" s="1"/>
  <c r="H26" i="3" s="1"/>
  <c r="I11" i="3"/>
  <c r="I19" i="3" s="1"/>
  <c r="I20" i="3"/>
  <c r="K10" i="3" l="1"/>
  <c r="L9" i="3"/>
  <c r="K15" i="3"/>
  <c r="K12" i="3"/>
  <c r="K13" i="3" s="1"/>
  <c r="L8" i="3"/>
  <c r="L7" i="3" s="1"/>
  <c r="K14" i="3"/>
  <c r="K16" i="3"/>
  <c r="K17" i="3" s="1"/>
  <c r="I21" i="3"/>
  <c r="I23" i="3" s="1"/>
  <c r="J11" i="3"/>
  <c r="J19" i="3" s="1"/>
  <c r="J20" i="3"/>
  <c r="J21" i="3" l="1"/>
  <c r="J23" i="3" s="1"/>
  <c r="L10" i="3"/>
  <c r="M9" i="3"/>
  <c r="M8" i="3"/>
  <c r="M7" i="3" s="1"/>
  <c r="L16" i="3"/>
  <c r="L17" i="3" s="1"/>
  <c r="L15" i="3"/>
  <c r="L12" i="3"/>
  <c r="L13" i="3" s="1"/>
  <c r="L14" i="3"/>
  <c r="J25" i="3"/>
  <c r="J24" i="3"/>
  <c r="I25" i="3"/>
  <c r="I26" i="3" s="1"/>
  <c r="J26" i="3" s="1"/>
  <c r="I24" i="3"/>
  <c r="K11" i="3"/>
  <c r="K19" i="3" s="1"/>
  <c r="K20" i="3"/>
  <c r="K21" i="3" l="1"/>
  <c r="K23" i="3" s="1"/>
  <c r="M16" i="3"/>
  <c r="M17" i="3" s="1"/>
  <c r="M10" i="3"/>
  <c r="M12" i="3"/>
  <c r="M13" i="3" s="1"/>
  <c r="N8" i="3"/>
  <c r="M15" i="3"/>
  <c r="N9" i="3"/>
  <c r="M14" i="3"/>
  <c r="K25" i="3"/>
  <c r="K24" i="3"/>
  <c r="K26" i="3"/>
  <c r="L11" i="3"/>
  <c r="L19" i="3" s="1"/>
  <c r="L20" i="3"/>
  <c r="N7" i="3" l="1"/>
  <c r="N10" i="3"/>
  <c r="C6" i="4"/>
  <c r="M13" i="10" s="1"/>
  <c r="N16" i="3"/>
  <c r="N17" i="3" s="1"/>
  <c r="O8" i="3"/>
  <c r="O7" i="3" s="1"/>
  <c r="N14" i="3"/>
  <c r="O9" i="3"/>
  <c r="N12" i="3"/>
  <c r="N13" i="3" s="1"/>
  <c r="N15" i="3"/>
  <c r="C6" i="5"/>
  <c r="L21" i="3"/>
  <c r="L23" i="3" s="1"/>
  <c r="M11" i="3"/>
  <c r="M19" i="3" s="1"/>
  <c r="M20" i="3"/>
  <c r="M21" i="3" l="1"/>
  <c r="M23" i="3" s="1"/>
  <c r="M25" i="3"/>
  <c r="M24" i="3"/>
  <c r="L25" i="3"/>
  <c r="L26" i="3" s="1"/>
  <c r="M26" i="3" s="1"/>
  <c r="L24" i="3"/>
  <c r="P8" i="3"/>
  <c r="O16" i="3"/>
  <c r="O17" i="3" s="1"/>
  <c r="O14" i="3"/>
  <c r="O10" i="3"/>
  <c r="P9" i="3"/>
  <c r="P7" i="3"/>
  <c r="O12" i="3"/>
  <c r="O13" i="3" s="1"/>
  <c r="O15" i="3"/>
  <c r="N20" i="3"/>
  <c r="C7" i="6" s="1"/>
  <c r="N11" i="3"/>
  <c r="N19" i="3" s="1"/>
  <c r="N21" i="3" l="1"/>
  <c r="N23" i="3" s="1"/>
  <c r="C7" i="4"/>
  <c r="Q9" i="3"/>
  <c r="Q8" i="3"/>
  <c r="P16" i="3"/>
  <c r="P17" i="3" s="1"/>
  <c r="Q7" i="3"/>
  <c r="P15" i="3"/>
  <c r="P14" i="3"/>
  <c r="P10" i="3"/>
  <c r="P12" i="3"/>
  <c r="P13" i="3" s="1"/>
  <c r="O20" i="3"/>
  <c r="O11" i="3"/>
  <c r="O19" i="3" s="1"/>
  <c r="O21" i="3" l="1"/>
  <c r="O23" i="3" s="1"/>
  <c r="P20" i="3"/>
  <c r="P11" i="3"/>
  <c r="P19" i="3" s="1"/>
  <c r="P21" i="3" s="1"/>
  <c r="P23" i="3" s="1"/>
  <c r="R9" i="3"/>
  <c r="Q16" i="3"/>
  <c r="Q17" i="3" s="1"/>
  <c r="Q15" i="3"/>
  <c r="Q10" i="3"/>
  <c r="R8" i="3"/>
  <c r="R7" i="3" s="1"/>
  <c r="Q14" i="3"/>
  <c r="Q12" i="3"/>
  <c r="Q13" i="3" s="1"/>
  <c r="C6" i="6"/>
  <c r="C8" i="6" s="1"/>
  <c r="C10" i="6" s="1"/>
  <c r="C11" i="6" s="1"/>
  <c r="C13" i="10"/>
  <c r="C7" i="10"/>
  <c r="C7" i="5"/>
  <c r="C8" i="5" s="1"/>
  <c r="N24" i="3"/>
  <c r="N25" i="3"/>
  <c r="C8" i="4"/>
  <c r="R15" i="3" l="1"/>
  <c r="S8" i="3"/>
  <c r="S9" i="3"/>
  <c r="R10" i="3"/>
  <c r="R16" i="3"/>
  <c r="R17" i="3" s="1"/>
  <c r="R12" i="3"/>
  <c r="R13" i="3" s="1"/>
  <c r="R14" i="3"/>
  <c r="C10" i="5"/>
  <c r="C11" i="5" s="1"/>
  <c r="C12" i="5"/>
  <c r="C14" i="10"/>
  <c r="C8" i="10"/>
  <c r="C9" i="4"/>
  <c r="C10" i="4"/>
  <c r="D7" i="7" s="1"/>
  <c r="N26" i="3"/>
  <c r="Q20" i="3"/>
  <c r="Q11" i="3"/>
  <c r="Q19" i="3" s="1"/>
  <c r="Q21" i="3" s="1"/>
  <c r="Q23" i="3" s="1"/>
  <c r="P24" i="3"/>
  <c r="P25" i="3"/>
  <c r="O25" i="3"/>
  <c r="O24" i="3"/>
  <c r="S7" i="3" l="1"/>
  <c r="T8" i="3"/>
  <c r="S16" i="3"/>
  <c r="S17" i="3" s="1"/>
  <c r="S15" i="3"/>
  <c r="T9" i="3"/>
  <c r="T7" i="3" s="1"/>
  <c r="S10" i="3"/>
  <c r="S12" i="3"/>
  <c r="S13" i="3" s="1"/>
  <c r="S14" i="3"/>
  <c r="Q25" i="3"/>
  <c r="Q24" i="3"/>
  <c r="C11" i="4"/>
  <c r="O26" i="3"/>
  <c r="P26" i="3" s="1"/>
  <c r="Q26" i="3" s="1"/>
  <c r="D10" i="7"/>
  <c r="D8" i="7"/>
  <c r="C7" i="8" s="1"/>
  <c r="R20" i="3"/>
  <c r="R11" i="3"/>
  <c r="R19" i="3" s="1"/>
  <c r="U8" i="3" l="1"/>
  <c r="T15" i="3"/>
  <c r="T14" i="3"/>
  <c r="U9" i="3"/>
  <c r="U7" i="3" s="1"/>
  <c r="T16" i="3"/>
  <c r="T17" i="3" s="1"/>
  <c r="T10" i="3"/>
  <c r="T12" i="3"/>
  <c r="T13" i="3" s="1"/>
  <c r="R21" i="3"/>
  <c r="R23" i="3" s="1"/>
  <c r="D9" i="7"/>
  <c r="S11" i="3"/>
  <c r="S19" i="3" s="1"/>
  <c r="S20" i="3"/>
  <c r="V8" i="3" l="1"/>
  <c r="U16" i="3"/>
  <c r="U17" i="3" s="1"/>
  <c r="U15" i="3"/>
  <c r="U14" i="3"/>
  <c r="U10" i="3"/>
  <c r="U12" i="3"/>
  <c r="U13" i="3" s="1"/>
  <c r="V9" i="3"/>
  <c r="V7" i="3" s="1"/>
  <c r="R25" i="3"/>
  <c r="R24" i="3"/>
  <c r="S21" i="3"/>
  <c r="S23" i="3" s="1"/>
  <c r="T20" i="3"/>
  <c r="T11" i="3"/>
  <c r="T19" i="3" s="1"/>
  <c r="T21" i="3" s="1"/>
  <c r="T23" i="3" s="1"/>
  <c r="V16" i="3" l="1"/>
  <c r="V17" i="3" s="1"/>
  <c r="V14" i="3"/>
  <c r="V12" i="3"/>
  <c r="V13" i="3" s="1"/>
  <c r="W8" i="3"/>
  <c r="V15" i="3"/>
  <c r="V10" i="3"/>
  <c r="W9" i="3"/>
  <c r="T25" i="3"/>
  <c r="T24" i="3"/>
  <c r="S24" i="3"/>
  <c r="S25" i="3"/>
  <c r="R26" i="3"/>
  <c r="S26" i="3" s="1"/>
  <c r="T26" i="3" s="1"/>
  <c r="U20" i="3"/>
  <c r="U11" i="3"/>
  <c r="U19" i="3" s="1"/>
  <c r="U21" i="3" s="1"/>
  <c r="U23" i="3" s="1"/>
  <c r="W7" i="3" l="1"/>
  <c r="W15" i="3"/>
  <c r="W14" i="3"/>
  <c r="W12" i="3"/>
  <c r="W13" i="3" s="1"/>
  <c r="X8" i="3"/>
  <c r="W16" i="3"/>
  <c r="W17" i="3" s="1"/>
  <c r="W10" i="3"/>
  <c r="X9" i="3"/>
  <c r="U24" i="3"/>
  <c r="U25" i="3"/>
  <c r="U26" i="3"/>
  <c r="V20" i="3"/>
  <c r="V11" i="3"/>
  <c r="V19" i="3" s="1"/>
  <c r="X7" i="3" l="1"/>
  <c r="X14" i="3"/>
  <c r="X12" i="3"/>
  <c r="X13" i="3" s="1"/>
  <c r="Y8" i="3"/>
  <c r="X16" i="3"/>
  <c r="X17" i="3" s="1"/>
  <c r="X15" i="3"/>
  <c r="X10" i="3"/>
  <c r="Y9" i="3"/>
  <c r="V21" i="3"/>
  <c r="V23" i="3" s="1"/>
  <c r="W20" i="3"/>
  <c r="W11" i="3"/>
  <c r="W19" i="3" s="1"/>
  <c r="W21" i="3" s="1"/>
  <c r="W23" i="3" s="1"/>
  <c r="Y7" i="3" l="1"/>
  <c r="Y14" i="3"/>
  <c r="Y16" i="3"/>
  <c r="Y17" i="3" s="1"/>
  <c r="Y15" i="3"/>
  <c r="Y10" i="3"/>
  <c r="Z8" i="3"/>
  <c r="Y12" i="3"/>
  <c r="Y13" i="3" s="1"/>
  <c r="Z9" i="3"/>
  <c r="W24" i="3"/>
  <c r="W25" i="3"/>
  <c r="V24" i="3"/>
  <c r="V25" i="3"/>
  <c r="V26" i="3" s="1"/>
  <c r="W26" i="3" s="1"/>
  <c r="X20" i="3"/>
  <c r="X11" i="3"/>
  <c r="X19" i="3" s="1"/>
  <c r="X21" i="3" s="1"/>
  <c r="X23" i="3" s="1"/>
  <c r="Z7" i="3" l="1"/>
  <c r="Z15" i="3"/>
  <c r="D6" i="4"/>
  <c r="N13" i="10" s="1"/>
  <c r="Z10" i="3"/>
  <c r="AA9" i="3"/>
  <c r="AA8" i="3"/>
  <c r="AA7" i="3" s="1"/>
  <c r="Z12" i="3"/>
  <c r="Z13" i="3" s="1"/>
  <c r="Z16" i="3"/>
  <c r="Z17" i="3" s="1"/>
  <c r="Z14" i="3"/>
  <c r="D6" i="5"/>
  <c r="X24" i="3"/>
  <c r="X25" i="3"/>
  <c r="X26" i="3"/>
  <c r="Y20" i="3"/>
  <c r="Y11" i="3"/>
  <c r="Y19" i="3" s="1"/>
  <c r="Y21" i="3" s="1"/>
  <c r="Y23" i="3" s="1"/>
  <c r="AA15" i="3" l="1"/>
  <c r="AA14" i="3"/>
  <c r="AB8" i="3"/>
  <c r="AB9" i="3"/>
  <c r="AA16" i="3"/>
  <c r="AA12" i="3"/>
  <c r="AA13" i="3" s="1"/>
  <c r="AA10" i="3"/>
  <c r="Y24" i="3"/>
  <c r="Y25" i="3"/>
  <c r="Y26" i="3" s="1"/>
  <c r="Z11" i="3"/>
  <c r="Z19" i="3" s="1"/>
  <c r="Z20" i="3"/>
  <c r="D7" i="6" s="1"/>
  <c r="AB7" i="3" l="1"/>
  <c r="AB14" i="3"/>
  <c r="AB12" i="3"/>
  <c r="AB13" i="3" s="1"/>
  <c r="AB15" i="3"/>
  <c r="AC9" i="3"/>
  <c r="AC8" i="3"/>
  <c r="AC7" i="3" s="1"/>
  <c r="AB16" i="3"/>
  <c r="AB10" i="3"/>
  <c r="Z21" i="3"/>
  <c r="Z23" i="3" s="1"/>
  <c r="D7" i="4"/>
  <c r="AA11" i="3"/>
  <c r="AA20" i="3"/>
  <c r="AA17" i="3"/>
  <c r="AA18" i="3"/>
  <c r="AC14" i="3" l="1"/>
  <c r="AC12" i="3"/>
  <c r="AC13" i="3" s="1"/>
  <c r="AC15" i="3"/>
  <c r="AD8" i="3"/>
  <c r="AC16" i="3"/>
  <c r="AD9" i="3"/>
  <c r="AC10" i="3"/>
  <c r="D13" i="10"/>
  <c r="D7" i="5"/>
  <c r="D8" i="5" s="1"/>
  <c r="D7" i="10"/>
  <c r="D6" i="6"/>
  <c r="D8" i="6" s="1"/>
  <c r="D10" i="6" s="1"/>
  <c r="D11" i="6" s="1"/>
  <c r="AA19" i="3"/>
  <c r="Z25" i="3"/>
  <c r="Z24" i="3"/>
  <c r="D8" i="4"/>
  <c r="AB20" i="3"/>
  <c r="AB11" i="3"/>
  <c r="AB18" i="3"/>
  <c r="AB17" i="3"/>
  <c r="AD7" i="3" l="1"/>
  <c r="D14" i="10"/>
  <c r="D8" i="10"/>
  <c r="D9" i="4"/>
  <c r="AA21" i="3"/>
  <c r="AA23" i="3" s="1"/>
  <c r="AB19" i="3"/>
  <c r="AB21" i="3" s="1"/>
  <c r="AB23" i="3" s="1"/>
  <c r="D10" i="4"/>
  <c r="E7" i="7" s="1"/>
  <c r="Z26" i="3"/>
  <c r="D10" i="5"/>
  <c r="D11" i="5" s="1"/>
  <c r="D12" i="5"/>
  <c r="AC20" i="3"/>
  <c r="AC11" i="3"/>
  <c r="AD14" i="3"/>
  <c r="AD10" i="3"/>
  <c r="AD15" i="3"/>
  <c r="AE8" i="3"/>
  <c r="AE9" i="3"/>
  <c r="AD16" i="3"/>
  <c r="AD12" i="3"/>
  <c r="AD13" i="3" s="1"/>
  <c r="AC18" i="3"/>
  <c r="AC17" i="3"/>
  <c r="AE7" i="3" l="1"/>
  <c r="AE12" i="3"/>
  <c r="AE13" i="3" s="1"/>
  <c r="AE10" i="3"/>
  <c r="AE14" i="3"/>
  <c r="AE15" i="3"/>
  <c r="AF8" i="3"/>
  <c r="AF9" i="3"/>
  <c r="AE16" i="3"/>
  <c r="AF7" i="3"/>
  <c r="AD20" i="3"/>
  <c r="AD11" i="3"/>
  <c r="AD18" i="3"/>
  <c r="AD17" i="3"/>
  <c r="AC19" i="3"/>
  <c r="AC21" i="3" s="1"/>
  <c r="AC23" i="3" s="1"/>
  <c r="D11" i="4"/>
  <c r="E10" i="7"/>
  <c r="E8" i="7"/>
  <c r="AB24" i="3"/>
  <c r="AB25" i="3"/>
  <c r="AA25" i="3"/>
  <c r="AA26" i="3" s="1"/>
  <c r="AB26" i="3" s="1"/>
  <c r="AA24" i="3"/>
  <c r="E9" i="7" l="1"/>
  <c r="AC24" i="3"/>
  <c r="AC25" i="3"/>
  <c r="AC26" i="3" s="1"/>
  <c r="AD19" i="3"/>
  <c r="AF12" i="3"/>
  <c r="AF13" i="3" s="1"/>
  <c r="AF10" i="3"/>
  <c r="AF14" i="3"/>
  <c r="AG8" i="3"/>
  <c r="AF15" i="3"/>
  <c r="AG9" i="3"/>
  <c r="AF16" i="3"/>
  <c r="AE18" i="3"/>
  <c r="AE17" i="3"/>
  <c r="AE20" i="3"/>
  <c r="AE11" i="3"/>
  <c r="AE19" i="3" l="1"/>
  <c r="AE21" i="3" s="1"/>
  <c r="AE23" i="3" s="1"/>
  <c r="AG7" i="3"/>
  <c r="AF20" i="3"/>
  <c r="AF11" i="3"/>
  <c r="AE24" i="3"/>
  <c r="AE25" i="3"/>
  <c r="AG12" i="3"/>
  <c r="AG13" i="3" s="1"/>
  <c r="AH9" i="3"/>
  <c r="AG14" i="3"/>
  <c r="AG15" i="3"/>
  <c r="AH8" i="3"/>
  <c r="AH7" i="3" s="1"/>
  <c r="AG16" i="3"/>
  <c r="AG10" i="3"/>
  <c r="AF18" i="3"/>
  <c r="AF17" i="3"/>
  <c r="AD21" i="3"/>
  <c r="AD23" i="3" s="1"/>
  <c r="AD24" i="3" l="1"/>
  <c r="AD25" i="3"/>
  <c r="AG20" i="3"/>
  <c r="AG11" i="3"/>
  <c r="AI9" i="3"/>
  <c r="AH15" i="3"/>
  <c r="AH16" i="3"/>
  <c r="AI8" i="3"/>
  <c r="AI7" i="3" s="1"/>
  <c r="AH14" i="3"/>
  <c r="AH10" i="3"/>
  <c r="AH12" i="3"/>
  <c r="AH13" i="3" s="1"/>
  <c r="AG17" i="3"/>
  <c r="AG18" i="3"/>
  <c r="AF19" i="3"/>
  <c r="AI12" i="3" l="1"/>
  <c r="AI13" i="3" s="1"/>
  <c r="AJ9" i="3"/>
  <c r="AI15" i="3"/>
  <c r="AJ8" i="3"/>
  <c r="AI16" i="3"/>
  <c r="AI14" i="3"/>
  <c r="AJ7" i="3"/>
  <c r="AI10" i="3"/>
  <c r="AH11" i="3"/>
  <c r="AH20" i="3"/>
  <c r="AF21" i="3"/>
  <c r="AF23" i="3" s="1"/>
  <c r="AH17" i="3"/>
  <c r="AH18" i="3"/>
  <c r="AG19" i="3"/>
  <c r="AG21" i="3" s="1"/>
  <c r="AG23" i="3" s="1"/>
  <c r="AD26" i="3"/>
  <c r="AE26" i="3" s="1"/>
  <c r="AG25" i="3" l="1"/>
  <c r="AG24" i="3"/>
  <c r="AF24" i="3"/>
  <c r="AF25" i="3"/>
  <c r="AF26" i="3"/>
  <c r="AG26" i="3" s="1"/>
  <c r="AH19" i="3"/>
  <c r="AH21" i="3" s="1"/>
  <c r="AH23" i="3" s="1"/>
  <c r="AI11" i="3"/>
  <c r="AI20" i="3"/>
  <c r="AJ12" i="3"/>
  <c r="AJ13" i="3" s="1"/>
  <c r="AJ10" i="3"/>
  <c r="AK8" i="3"/>
  <c r="AJ14" i="3"/>
  <c r="AJ16" i="3"/>
  <c r="AK9" i="3"/>
  <c r="AJ15" i="3"/>
  <c r="AI17" i="3"/>
  <c r="AI18" i="3"/>
  <c r="AK7" i="3" l="1"/>
  <c r="AK12" i="3"/>
  <c r="AK13" i="3" s="1"/>
  <c r="AK10" i="3"/>
  <c r="AL8" i="3"/>
  <c r="AK16" i="3"/>
  <c r="AL9" i="3"/>
  <c r="AK14" i="3"/>
  <c r="AK15" i="3"/>
  <c r="AJ18" i="3"/>
  <c r="AJ17" i="3"/>
  <c r="AJ11" i="3"/>
  <c r="AJ19" i="3" s="1"/>
  <c r="AJ20" i="3"/>
  <c r="AI19" i="3"/>
  <c r="AI21" i="3" s="1"/>
  <c r="AI23" i="3" s="1"/>
  <c r="AH25" i="3"/>
  <c r="AH26" i="3" s="1"/>
  <c r="AH24" i="3"/>
  <c r="AL7" i="3" l="1"/>
  <c r="AI25" i="3"/>
  <c r="AI26" i="3" s="1"/>
  <c r="AI24" i="3"/>
  <c r="AJ21" i="3"/>
  <c r="AJ23" i="3" s="1"/>
  <c r="AL12" i="3"/>
  <c r="AL13" i="3" s="1"/>
  <c r="AL16" i="3"/>
  <c r="AL14" i="3"/>
  <c r="AL10" i="3"/>
  <c r="AL15" i="3"/>
  <c r="E6" i="5"/>
  <c r="AK18" i="3"/>
  <c r="AK17" i="3"/>
  <c r="AK11" i="3"/>
  <c r="AK20" i="3"/>
  <c r="AK19" i="3" l="1"/>
  <c r="AK21" i="3" s="1"/>
  <c r="AK23" i="3" s="1"/>
  <c r="AL20" i="3"/>
  <c r="E7" i="6" s="1"/>
  <c r="AL11" i="3"/>
  <c r="AL18" i="3"/>
  <c r="AL17" i="3"/>
  <c r="AJ25" i="3"/>
  <c r="AJ26" i="3" s="1"/>
  <c r="AJ24" i="3"/>
  <c r="AL19" i="3" l="1"/>
  <c r="AK24" i="3"/>
  <c r="AK25" i="3"/>
  <c r="AK26" i="3" s="1"/>
  <c r="AL21" i="3" l="1"/>
  <c r="AL23" i="3" s="1"/>
  <c r="E7" i="4"/>
  <c r="E13" i="10" l="1"/>
  <c r="E7" i="5"/>
  <c r="E8" i="5" s="1"/>
  <c r="E7" i="10"/>
  <c r="C9" i="8"/>
  <c r="H8" i="10" s="1"/>
  <c r="E6" i="6"/>
  <c r="E8" i="6" s="1"/>
  <c r="E10" i="6" s="1"/>
  <c r="E11" i="6" s="1"/>
  <c r="AL24" i="3"/>
  <c r="AL25" i="3"/>
  <c r="E8" i="4"/>
  <c r="E14" i="10" l="1"/>
  <c r="E8" i="10"/>
  <c r="E9" i="4"/>
  <c r="C10" i="8"/>
  <c r="E10" i="4"/>
  <c r="F7" i="7" s="1"/>
  <c r="AL26" i="3"/>
  <c r="E10" i="5"/>
  <c r="E11" i="5" s="1"/>
  <c r="K8" i="10" s="1"/>
  <c r="E12" i="5"/>
  <c r="F10" i="7" l="1"/>
  <c r="C6" i="8" s="1"/>
  <c r="H7" i="10" s="1"/>
  <c r="F8" i="7"/>
  <c r="F9" i="7" l="1"/>
</calcChain>
</file>

<file path=xl/sharedStrings.xml><?xml version="1.0" encoding="utf-8"?>
<sst xmlns="http://schemas.openxmlformats.org/spreadsheetml/2006/main" count="350" uniqueCount="219">
  <si>
    <t>Project "X" Financial Model</t>
  </si>
  <si>
    <t>Model Overview (Обзор модели)</t>
  </si>
  <si>
    <t>Version</t>
  </si>
  <si>
    <t>GitHub Final — Fixed</t>
  </si>
  <si>
    <t>Purpose</t>
  </si>
  <si>
    <t>Financial model for Project X with a 36-month forecast, scenario selection, unit economics, P&amp;L, cash flow, valuation and sensitivity analysis.</t>
  </si>
  <si>
    <t>Language</t>
  </si>
  <si>
    <t>English with Russian translations in brackets</t>
  </si>
  <si>
    <t>Scenario logic</t>
  </si>
  <si>
    <t>Change the selected scenario in Assumptions!C5. Model outputs update through formula-based scenario multipliers.</t>
  </si>
  <si>
    <t>Monetization</t>
  </si>
  <si>
    <t>Commission, Premium, Partnerships, Advertising, Promoted Listings, Paid Listings</t>
  </si>
  <si>
    <t>Prepared for</t>
  </si>
  <si>
    <t>GitHub portfolio / Junior Financial Analyst case</t>
  </si>
  <si>
    <t>Date</t>
  </si>
  <si>
    <t>2026-05-30</t>
  </si>
  <si>
    <t>Note</t>
  </si>
  <si>
    <t>Synthetic assumptions for planning and portfolio purposes.</t>
  </si>
  <si>
    <t>Sheets (Листы)</t>
  </si>
  <si>
    <t>Assumptions</t>
  </si>
  <si>
    <t>Inputs and scenario selector</t>
  </si>
  <si>
    <t>Monthly Model</t>
  </si>
  <si>
    <t>36-month operating model</t>
  </si>
  <si>
    <t>Annual Summary</t>
  </si>
  <si>
    <t>Annual output summary</t>
  </si>
  <si>
    <t>Unit Economics</t>
  </si>
  <si>
    <t>ARPU, CAC, LTV, LTV/CAC, Payback</t>
  </si>
  <si>
    <t>P&amp;L</t>
  </si>
  <si>
    <t>Profit and loss</t>
  </si>
  <si>
    <t>Cash Flow</t>
  </si>
  <si>
    <t>Free cash flow and discounted cash flow</t>
  </si>
  <si>
    <t>Valuation</t>
  </si>
  <si>
    <t>NPV, IRR, revenue multiple valuation</t>
  </si>
  <si>
    <t>Sensitivity</t>
  </si>
  <si>
    <t>Revenue sensitivity table</t>
  </si>
  <si>
    <t>Dashboard</t>
  </si>
  <si>
    <t>Charts and KPI dashboard</t>
  </si>
  <si>
    <t>README Notes</t>
  </si>
  <si>
    <t>Notes for GitHub README</t>
  </si>
  <si>
    <t>Assumptions (Допущения)</t>
  </si>
  <si>
    <t>Scenario Control (Выбор сценария)</t>
  </si>
  <si>
    <t>Selected Scenario (Выбранный сценарий)</t>
  </si>
  <si>
    <t>Base</t>
  </si>
  <si>
    <t>Conservative</t>
  </si>
  <si>
    <t>Discount Rate (Ставка дисконтирования)</t>
  </si>
  <si>
    <t>Initial Investment (Первоначальные инвестиции)</t>
  </si>
  <si>
    <t>Optimistic</t>
  </si>
  <si>
    <t>Model Start (Начало модели)</t>
  </si>
  <si>
    <t>Jan-2026</t>
  </si>
  <si>
    <t>Core Business Inputs (Ключевые бизнес-допущения)</t>
  </si>
  <si>
    <t>Input (Допущение)</t>
  </si>
  <si>
    <t>Value (Значение)</t>
  </si>
  <si>
    <t>Unit (Ед.)</t>
  </si>
  <si>
    <t>Initial Active Users (Активные пользователи M1)</t>
  </si>
  <si>
    <t>users</t>
  </si>
  <si>
    <t>Monthly Growth (Месячный рост пользователей)</t>
  </si>
  <si>
    <t>%</t>
  </si>
  <si>
    <t>Monthly Churn (Месячный отток)</t>
  </si>
  <si>
    <t>Conversion to Deal (Конверсия в сделку)</t>
  </si>
  <si>
    <t>Average Rent (Средняя аренда)</t>
  </si>
  <si>
    <t>₽</t>
  </si>
  <si>
    <t>Average Commission (Средняя комиссия)</t>
  </si>
  <si>
    <t>Premium Price (Цена Premium)</t>
  </si>
  <si>
    <t>₽ / month</t>
  </si>
  <si>
    <t>Premium Conversion (Конверсия в Premium)</t>
  </si>
  <si>
    <t>Partnership Revenue / User (Партнёрки на пользователя)</t>
  </si>
  <si>
    <t>₽ / user / month</t>
  </si>
  <si>
    <t>Advertising Revenue / User (Реклама на пользователя)</t>
  </si>
  <si>
    <t>Listings per User (Объявлений на пользователя)</t>
  </si>
  <si>
    <t>listings</t>
  </si>
  <si>
    <t>Promoted Listing Price (Цена продвижения)</t>
  </si>
  <si>
    <t>Promoted Listing Conversion (Конверсия продвижения)</t>
  </si>
  <si>
    <t>Paid Listings Start Month (Старт платных объявлений)</t>
  </si>
  <si>
    <t>month</t>
  </si>
  <si>
    <t>Paid Listing Fee (Платное объявление)</t>
  </si>
  <si>
    <t>Paid Listing Conversion (Конверсия платных объявлений)</t>
  </si>
  <si>
    <t>CAC (Стоимость привлечения)</t>
  </si>
  <si>
    <t>₽ / user</t>
  </si>
  <si>
    <t>Average Customer Lifetime (Средний срок жизни клиента)</t>
  </si>
  <si>
    <t>months</t>
  </si>
  <si>
    <t>Cost Inputs (Расходные допущения)</t>
  </si>
  <si>
    <t>Cost Item (Статья расхода)</t>
  </si>
  <si>
    <t>Development / Month (Разработка / месяц)</t>
  </si>
  <si>
    <t>Marketing / Month (Маркетинг / месяц)</t>
  </si>
  <si>
    <t>Hosting / Month (Хостинг / месяц)</t>
  </si>
  <si>
    <t>Legal &amp; Admin / Month (Юр. и админ. / месяц)</t>
  </si>
  <si>
    <t>Support / Month (Поддержка / месяц)</t>
  </si>
  <si>
    <t>Other Expenses / Month (Прочие расходы / месяц)</t>
  </si>
  <si>
    <t>Variable Cost per Deal (Переменные расходы на сделку)</t>
  </si>
  <si>
    <t>Scenario Multipliers (Мультипликаторы сценариев)</t>
  </si>
  <si>
    <t>Metric (Метрика)</t>
  </si>
  <si>
    <t>User Growth Multiplier</t>
  </si>
  <si>
    <t>Conversion Multiplier</t>
  </si>
  <si>
    <t>Premium Conversion Multiplier</t>
  </si>
  <si>
    <t>CAC Multiplier</t>
  </si>
  <si>
    <t>Cost Multiplier</t>
  </si>
  <si>
    <t>Monthly Model (Помесячная модель)</t>
  </si>
  <si>
    <t>36-Month Operating Forecast (36-месячный операционный прогноз)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</si>
  <si>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</si>
  <si>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</si>
  <si>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</si>
  <si>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</si>
  <si>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</si>
  <si>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</si>
  <si>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</si>
  <si>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</si>
  <si>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</si>
  <si>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</si>
  <si>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</si>
  <si>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</si>
  <si>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</si>
  <si>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</si>
  <si>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</si>
  <si>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</si>
  <si>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</si>
  <si>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</si>
  <si>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</si>
  <si>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</si>
  <si>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</si>
  <si>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</si>
  <si>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</si>
  <si>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</si>
  <si>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</si>
  <si>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</si>
  <si>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</si>
  <si>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</si>
  <si>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</si>
  <si>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</si>
  <si>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</si>
  <si>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</si>
  <si>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</si>
  <si>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</si>
  <si>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</si>
  <si>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</si>
  <si>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Year (Год)</t>
  </si>
  <si>
    <t>Active Users (Активные пользователи)</t>
  </si>
  <si>
    <t>New Users (Новые пользователи)</t>
  </si>
  <si>
    <t>Churned Users (Ушедшие пользователи)</t>
  </si>
  <si>
    <t>Successful Deals (Успешные сделки)</t>
  </si>
  <si>
    <t>Transaction Commission Revenue (Комиссионная выручка)</t>
  </si>
  <si>
    <t>Premium Subscribers (Premium-подписчики)</t>
  </si>
  <si>
    <t>Premium Revenue (Выручка Premium)</t>
  </si>
  <si>
    <t>Partnership Revenue (Партнёрская выручка)</t>
  </si>
  <si>
    <t>Advertising Revenue (Рекламная выручка)</t>
  </si>
  <si>
    <t>Listings (Объявления)</t>
  </si>
  <si>
    <t>Promoted Listings Revenue (Продвижение объявлений)</t>
  </si>
  <si>
    <t>Paid Listings Revenue (Платные объявления)</t>
  </si>
  <si>
    <t>Total Revenue (Итого выручка)</t>
  </si>
  <si>
    <t>Variable Costs (Переменные расходы)</t>
  </si>
  <si>
    <t>Gross Profit (Валовая прибыль)</t>
  </si>
  <si>
    <t>Fixed Operating Costs (Постоянные операционные расходы)</t>
  </si>
  <si>
    <t>EBITDA</t>
  </si>
  <si>
    <t>EBITDA Margin (Маржа EBITDA)</t>
  </si>
  <si>
    <t>Free Cash Flow (Свободный денежный поток)</t>
  </si>
  <si>
    <t>Closing Cash (Деньги на конец периода)</t>
  </si>
  <si>
    <t>Annual Summary (Годовой итог)</t>
  </si>
  <si>
    <t>Annual Summary (Годовая сводка)</t>
  </si>
  <si>
    <t>Active Users EOY (Активные пользователи на конец года)</t>
  </si>
  <si>
    <t>Revenue (Выручка)</t>
  </si>
  <si>
    <t>Closing Cash (Деньги на конец года)</t>
  </si>
  <si>
    <t>Unit Economics (Юнит-экономика)</t>
  </si>
  <si>
    <t>Average Active Users (Средние активные пользователи)</t>
  </si>
  <si>
    <t>ARPU (Выручка на пользователя)</t>
  </si>
  <si>
    <t>LTV (Ценность клиента)</t>
  </si>
  <si>
    <t>LTV/CAC</t>
  </si>
  <si>
    <t>Payback Period, months (Срок окупаемости, мес.)</t>
  </si>
  <si>
    <t>P&amp;L (Отчет о прибылях и убытках)</t>
  </si>
  <si>
    <t>P&amp;L Statement (Отчет о прибылях и убытках)</t>
  </si>
  <si>
    <t>Cash Flow (Денежный поток)</t>
  </si>
  <si>
    <t>Cash Flow Statement (Отчет о движении денежных средств)</t>
  </si>
  <si>
    <t>Initial Investment (Инвестиции)</t>
  </si>
  <si>
    <t>Net Cash Flow (Чистый денежный поток)</t>
  </si>
  <si>
    <t>Discounted FCF (Дисконтированный FCF)</t>
  </si>
  <si>
    <t>Valuation (Оценка стоимости)</t>
  </si>
  <si>
    <t>NPV (Чистая приведенная стоимость)</t>
  </si>
  <si>
    <t>IRR (IRR)</t>
  </si>
  <si>
    <t>Revenue Multiple (Мультипликатор выручки)</t>
  </si>
  <si>
    <t>Implied Valuation (Оценка по выручке)</t>
  </si>
  <si>
    <t>Total 3Y EBITDA (EBITDA за 3 года)</t>
  </si>
  <si>
    <t>Sensitivity (Чувствительность)</t>
  </si>
  <si>
    <t>Year 1 Revenue Sensitivity (Чувствительность выручки Year 1)</t>
  </si>
  <si>
    <t>Deal Conversion / Commission</t>
  </si>
  <si>
    <t>Comment</t>
  </si>
  <si>
    <t>Low conversion</t>
  </si>
  <si>
    <t>Base case</t>
  </si>
  <si>
    <t>High conversion</t>
  </si>
  <si>
    <t>Note: the table estimates Year 1 revenue under different conversion and commission assumptions. It is separated from the scenario selector.</t>
  </si>
  <si>
    <t>Dashboard (Дашборд)</t>
  </si>
  <si>
    <t>Project "X" Financial Model Dashboard (Дашборд финансовой модели)</t>
  </si>
  <si>
    <t>Metric</t>
  </si>
  <si>
    <t>2026</t>
  </si>
  <si>
    <t>2027</t>
  </si>
  <si>
    <t>2028</t>
  </si>
  <si>
    <t>Value</t>
  </si>
  <si>
    <t>Revenue</t>
  </si>
  <si>
    <t>NPV</t>
  </si>
  <si>
    <t>Scenario</t>
  </si>
  <si>
    <t>Implied Valuation</t>
  </si>
  <si>
    <t>LTV/CAC 2028</t>
  </si>
  <si>
    <t>Active Users</t>
  </si>
  <si>
    <t>README Notes (Заметки для README)</t>
  </si>
  <si>
    <t>Repository name</t>
  </si>
  <si>
    <t>Project-X-Financial-Model</t>
  </si>
  <si>
    <t>Description</t>
  </si>
  <si>
    <t>Financial model for Project X with 36-month forecast, scenarios, unit economics, P&amp;L, cash flow, valuation and sensitivity analysis.</t>
  </si>
  <si>
    <t>Files</t>
  </si>
  <si>
    <t>Excel financial model, dashboard screenshot, README.md, docs/model_overview.md</t>
  </si>
  <si>
    <t>Main skills</t>
  </si>
  <si>
    <t>Financial modeling, unit economics, P&amp;L, cash flow, valuation, scenario analysis</t>
  </si>
  <si>
    <t>Revenue streams</t>
  </si>
  <si>
    <t>Model status</t>
  </si>
  <si>
    <t>GitHub-ready</t>
  </si>
  <si>
    <t>Important note</t>
  </si>
  <si>
    <t>Synthetic data and assumptions for educational and portfolio purposes.</t>
  </si>
  <si>
    <t>Suggested resume bullet</t>
  </si>
  <si>
    <t>Built a financial model for Project X including 36-month forecast, unit economics, P&amp;L, cash flow, scenario analysis, valuation and sensitivity table.</t>
  </si>
  <si>
    <t>Next improvement</t>
  </si>
  <si>
    <t>Add real MVP user acquisition metrics when available.</t>
  </si>
  <si>
    <t>Year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</si>
</sst>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7" formatCode="#,##0;[Red]\(#,##0\);\-"/>
    <numFmt numFmtId="169" formatCode="0.0%;[Red]\(0.0%\);\-"/>
    <numFmt numFmtId="170" formatCode="#,##0.0\ \₽;[Red]\(#,##0.0\ \₽\);\-"/>
    <numFmt numFmtId="171" formatCode="#,##0.0;[Red]\(#,##0.0\);\-"/>
    <numFmt numFmtId="172" formatCode="0.0\x;[Red]\(0.0\x\);\-"/>
    <numFmt numFmtId="173" formatCode="0.0;[Red]\(0.0\);\-"/>
  </numFmts>
  <fonts count="9">
    <font>
      <sz val="11"/>
      <name val="Carlito"/>
    </font>
    <font>
      <b/>
      <sz val="16"/>
      <color rgb="FF1F4E78"/>
      <name val="Carlito"/>
    </font>
    <font>
      <b/>
      <sz val="11"/>
      <color rgb="FFFFFFFF"/>
      <name val="Carlito"/>
    </font>
    <font>
      <b/>
      <sz val="11"/>
      <color rgb="FF1F4E78"/>
      <name val="Carlito"/>
    </font>
    <font>
      <sz val="11"/>
      <color rgb="FF0000FF"/>
      <name val="Carlito"/>
    </font>
    <font>
      <sz val="11"/>
      <color rgb="FF666666"/>
      <name val="Carlito"/>
    </font>
    <font>
      <b/>
      <sz val="11"/>
      <name val="Carlito"/>
    </font>
    <font>
      <i/>
      <sz val="11"/>
      <color rgb="FF666666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 style="medium">
        <color rgb="FF1F4E78"/>
      </top>
      <bottom/>
      <diagonal/>
    </border>
  </borders>
  <cellStyleXfs count="2">
    <xf numFmtId="0" fontId="0" fillId="0" borderId="0"/>
    <xf numFmtId="0" fontId="8" fillId="0" borderId="0"/>
  </cellStyleXfs>
  <cellXfs count="26">
    <xf numFmtId="0" fontId="0" fillId="0" borderId="0" xfId="0"/>
    <xf numFmtId="0" fontId="0" fillId="2" borderId="0" xfId="1" applyFont="1" applyFill="1"/>
    <xf numFmtId="0" fontId="1" fillId="2" borderId="0" xfId="1" applyFont="1" applyFill="1"/>
    <xf numFmtId="0" fontId="3" fillId="2" borderId="0" xfId="1" applyFont="1" applyFill="1"/>
    <xf numFmtId="0" fontId="0" fillId="2" borderId="0" xfId="1" applyFont="1" applyFill="1" applyAlignment="1">
      <alignment wrapText="1"/>
    </xf>
    <xf numFmtId="0" fontId="4" fillId="4" borderId="0" xfId="1" applyFont="1" applyFill="1"/>
    <xf numFmtId="0" fontId="5" fillId="2" borderId="0" xfId="1" applyFont="1" applyFill="1"/>
    <xf numFmtId="0" fontId="2" fillId="3" borderId="0" xfId="1" applyFont="1" applyFill="1" applyAlignment="1">
      <alignment horizontal="center"/>
    </xf>
    <xf numFmtId="167" fontId="0" fillId="2" borderId="0" xfId="1" applyNumberFormat="1" applyFont="1" applyFill="1"/>
    <xf numFmtId="0" fontId="6" fillId="2" borderId="1" xfId="1" applyFont="1" applyFill="1" applyBorder="1"/>
    <xf numFmtId="0" fontId="0" fillId="2" borderId="0" xfId="1" applyFont="1" applyFill="1" applyAlignment="1">
      <alignment vertical="center"/>
    </xf>
    <xf numFmtId="169" fontId="4" fillId="4" borderId="0" xfId="1" applyNumberFormat="1" applyFont="1" applyFill="1"/>
    <xf numFmtId="170" fontId="4" fillId="4" borderId="0" xfId="1" applyNumberFormat="1" applyFont="1" applyFill="1"/>
    <xf numFmtId="167" fontId="4" fillId="4" borderId="0" xfId="1" applyNumberFormat="1" applyFont="1" applyFill="1"/>
    <xf numFmtId="171" fontId="4" fillId="4" borderId="0" xfId="1" applyNumberFormat="1" applyFont="1" applyFill="1"/>
    <xf numFmtId="172" fontId="4" fillId="4" borderId="0" xfId="1" applyNumberFormat="1" applyFont="1" applyFill="1"/>
    <xf numFmtId="170" fontId="0" fillId="2" borderId="0" xfId="1" applyNumberFormat="1" applyFont="1" applyFill="1"/>
    <xf numFmtId="170" fontId="6" fillId="2" borderId="1" xfId="1" applyNumberFormat="1" applyFont="1" applyFill="1" applyBorder="1"/>
    <xf numFmtId="169" fontId="0" fillId="2" borderId="0" xfId="1" applyNumberFormat="1" applyFont="1" applyFill="1"/>
    <xf numFmtId="172" fontId="6" fillId="2" borderId="1" xfId="1" applyNumberFormat="1" applyFont="1" applyFill="1" applyBorder="1"/>
    <xf numFmtId="173" fontId="0" fillId="2" borderId="0" xfId="1" applyNumberFormat="1" applyFont="1" applyFill="1"/>
    <xf numFmtId="172" fontId="0" fillId="2" borderId="0" xfId="1" applyNumberFormat="1" applyFont="1" applyFill="1"/>
    <xf numFmtId="0" fontId="2" fillId="3" borderId="0" xfId="1" applyFont="1" applyFill="1" applyAlignment="1">
      <alignment horizontal="left"/>
    </xf>
    <xf numFmtId="0" fontId="7" fillId="2" borderId="0" xfId="1" applyFont="1" applyFill="1"/>
    <xf numFmtId="0" fontId="0" fillId="2" borderId="0" xfId="1" applyFont="1" applyFill="1"/>
    <xf numFmtId="164" fontId="2" fillId="3" borderId="0" xfId="1" applyNumberFormat="1" applyFont="1" applyFill="1" applyAlignment="1">
      <alignment horizont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Dashboard!$B$12:$B$14</c:f>
              <c:strCache>
                <c:ptCount val="3"/>
                <c:pt idx="0">
                  <c:v>Metric</c:v>
                </c:pt>
                <c:pt idx="1">
                  <c:v>Revenue</c:v>
                </c:pt>
                <c:pt idx="2">
                  <c:v>EBITDA</c:v>
                </c:pt>
              </c:strCache>
            </c:strRef>
          </c:cat>
          <c:val>
            <c:numRef>
              <c:f>Dashboard!$C$12:$C$14</c:f>
              <c:numCache>
                <c:formatCode>#\ ##0.0\ \₽;[Red]\(#\ ##0.0\ \₽\);\-</c:formatCode>
                <c:ptCount val="3"/>
                <c:pt idx="0" formatCode="General">
                  <c:v>2026</c:v>
                </c:pt>
                <c:pt idx="1">
                  <c:v>6902867.2808239013</c:v>
                </c:pt>
                <c:pt idx="2">
                  <c:v>2008437.2336167416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7-49B7-91EB-A32FBC19E8F8}"/>
            </c:ext>
          </c:extLst>
        </c:ser>
        <c:ser>
          <c:idx val="1"/>
          <c:order val="1"/>
          <c:tx>
            <c:v>Series 2</c:v>
          </c:tx>
          <c:invertIfNegative val="1"/>
          <c:cat>
            <c:strRef>
              <c:f>Dashboard!$B$12:$B$14</c:f>
              <c:strCache>
                <c:ptCount val="3"/>
                <c:pt idx="0">
                  <c:v>Metric</c:v>
                </c:pt>
                <c:pt idx="1">
                  <c:v>Revenue</c:v>
                </c:pt>
                <c:pt idx="2">
                  <c:v>EBITDA</c:v>
                </c:pt>
              </c:strCache>
            </c:strRef>
          </c:cat>
          <c:val>
            <c:numRef>
              <c:f>Dashboard!$D$12:$D$14</c:f>
              <c:numCache>
                <c:formatCode>#\ ##0.0\ \₽;[Red]\(#\ ##0.0\ \₽\);\-</c:formatCode>
                <c:ptCount val="3"/>
                <c:pt idx="0" formatCode="General">
                  <c:v>2027</c:v>
                </c:pt>
                <c:pt idx="1">
                  <c:v>8754504.7878591809</c:v>
                </c:pt>
                <c:pt idx="2">
                  <c:v>3657705.0709172664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77-49B7-91EB-A32FBC19E8F8}"/>
            </c:ext>
          </c:extLst>
        </c:ser>
        <c:ser>
          <c:idx val="2"/>
          <c:order val="2"/>
          <c:tx>
            <c:v>Series 3</c:v>
          </c:tx>
          <c:invertIfNegative val="1"/>
          <c:cat>
            <c:strRef>
              <c:f>Dashboard!$B$12:$B$14</c:f>
              <c:strCache>
                <c:ptCount val="3"/>
                <c:pt idx="0">
                  <c:v>Metric</c:v>
                </c:pt>
                <c:pt idx="1">
                  <c:v>Revenue</c:v>
                </c:pt>
                <c:pt idx="2">
                  <c:v>EBITDA</c:v>
                </c:pt>
              </c:strCache>
            </c:strRef>
          </c:cat>
          <c:val>
            <c:numRef>
              <c:f>Dashboard!$E$12:$E$14</c:f>
              <c:numCache>
                <c:formatCode>#\ ##0.0\ \₽;[Red]\(#\ ##0.0\ \₽\);\-</c:formatCode>
                <c:ptCount val="3"/>
                <c:pt idx="0" formatCode="General">
                  <c:v>2028</c:v>
                </c:pt>
                <c:pt idx="1">
                  <c:v>11618843.17537253</c:v>
                </c:pt>
                <c:pt idx="2">
                  <c:v>6265389.7853211854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77-49B7-91EB-A32FBC19E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strRef>
              <c:f>Dashboard!$L$12:$L$13</c:f>
              <c:strCache>
                <c:ptCount val="2"/>
                <c:pt idx="0">
                  <c:v>Metric</c:v>
                </c:pt>
                <c:pt idx="1">
                  <c:v>Active Users</c:v>
                </c:pt>
              </c:strCache>
            </c:strRef>
          </c:cat>
          <c:val>
            <c:numRef>
              <c:f>Dashboard!$M$12:$M$13</c:f>
              <c:numCache>
                <c:formatCode>#\ ##0;[Red]\(#\ ##0\);\-</c:formatCode>
                <c:ptCount val="2"/>
                <c:pt idx="0" formatCode="General">
                  <c:v>2026</c:v>
                </c:pt>
                <c:pt idx="1">
                  <c:v>3108.4357709866299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AF-4662-8D3C-E1463BA0503C}"/>
            </c:ext>
          </c:extLst>
        </c:ser>
        <c:ser>
          <c:idx val="1"/>
          <c:order val="1"/>
          <c:tx>
            <c:v>Series 2</c:v>
          </c:tx>
          <c:cat>
            <c:strRef>
              <c:f>Dashboard!$L$12:$L$13</c:f>
              <c:strCache>
                <c:ptCount val="2"/>
                <c:pt idx="0">
                  <c:v>Metric</c:v>
                </c:pt>
                <c:pt idx="1">
                  <c:v>Active Users</c:v>
                </c:pt>
              </c:strCache>
            </c:strRef>
          </c:cat>
          <c:val>
            <c:numRef>
              <c:f>Dashboard!$N$12:$N$13</c:f>
              <c:numCache>
                <c:formatCode>#\ ##0;[Red]\(#\ ##0\);\-</c:formatCode>
                <c:ptCount val="2"/>
                <c:pt idx="0" formatCode="General">
                  <c:v>2027</c:v>
                </c:pt>
                <c:pt idx="1">
                  <c:v>3942.248160478493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AF-4662-8D3C-E1463BA0503C}"/>
            </c:ext>
          </c:extLst>
        </c:ser>
        <c:ser>
          <c:idx val="2"/>
          <c:order val="2"/>
          <c:tx>
            <c:v>Series 3</c:v>
          </c:tx>
          <c:cat>
            <c:strRef>
              <c:f>Dashboard!$L$12:$L$13</c:f>
              <c:strCache>
                <c:ptCount val="2"/>
                <c:pt idx="0">
                  <c:v>Metric</c:v>
                </c:pt>
                <c:pt idx="1">
                  <c:v>Active Users</c:v>
                </c:pt>
              </c:strCache>
            </c:strRef>
          </c:cat>
          <c:val>
            <c:numRef>
              <c:f>Dashboard!$O$12:$O$13</c:f>
              <c:numCache>
                <c:formatCode>#\ ##0;[Red]\(#\ ##0\);\-</c:formatCode>
                <c:ptCount val="2"/>
                <c:pt idx="0" formatCode="General">
                  <c:v>2028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AF-4662-8D3C-E1463BA05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10</xdr:col>
      <xdr:colOff>0</xdr:colOff>
      <xdr:row>52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0"/>
  <sheetViews>
    <sheetView workbookViewId="0"/>
  </sheetViews>
  <sheetFormatPr defaultRowHeight="14.25"/>
  <cols>
    <col min="1" max="1" width="3" customWidth="1"/>
    <col min="2" max="2" width="36" customWidth="1"/>
    <col min="3" max="3" width="90" customWidth="1"/>
    <col min="4" max="39" width="15" customWidth="1"/>
  </cols>
  <sheetData>
    <row r="1" spans="1:39">
      <c r="A1" s="1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ht="27.9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15">
      <c r="A4" s="1"/>
      <c r="B4" s="22" t="s">
        <v>1</v>
      </c>
      <c r="C4" s="22" t="s">
        <v>1</v>
      </c>
      <c r="D4" s="22" t="s">
        <v>1</v>
      </c>
      <c r="E4" s="22" t="s">
        <v>1</v>
      </c>
      <c r="F4" s="22" t="s">
        <v>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5">
      <c r="A5" s="1"/>
      <c r="B5" s="3" t="s">
        <v>2</v>
      </c>
      <c r="C5" s="4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ht="29.25">
      <c r="A6" s="1"/>
      <c r="B6" s="3" t="s">
        <v>4</v>
      </c>
      <c r="C6" s="4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5">
      <c r="A7" s="1"/>
      <c r="B7" s="3" t="s">
        <v>6</v>
      </c>
      <c r="C7" s="4" t="s">
        <v>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ht="29.25">
      <c r="A8" s="1"/>
      <c r="B8" s="3" t="s">
        <v>8</v>
      </c>
      <c r="C8" s="4" t="s">
        <v>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15">
      <c r="A9" s="1"/>
      <c r="B9" s="3" t="s">
        <v>10</v>
      </c>
      <c r="C9" s="4" t="s">
        <v>11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15">
      <c r="A10" s="1"/>
      <c r="B10" s="3" t="s">
        <v>12</v>
      </c>
      <c r="C10" s="4" t="s">
        <v>13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">
      <c r="A11" s="1"/>
      <c r="B11" s="3" t="s">
        <v>14</v>
      </c>
      <c r="C11" s="4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">
      <c r="A12" s="1"/>
      <c r="B12" s="3" t="s">
        <v>16</v>
      </c>
      <c r="C12" s="4" t="s">
        <v>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">
      <c r="A15" s="1"/>
      <c r="B15" s="22" t="s">
        <v>18</v>
      </c>
      <c r="C15" s="22" t="s">
        <v>18</v>
      </c>
      <c r="D15" s="22" t="s">
        <v>18</v>
      </c>
      <c r="E15" s="22" t="s">
        <v>18</v>
      </c>
      <c r="F15" s="22" t="s">
        <v>18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">
      <c r="A16" s="1"/>
      <c r="B16" s="3" t="s">
        <v>19</v>
      </c>
      <c r="C16" s="1" t="s">
        <v>20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">
      <c r="A17" s="1"/>
      <c r="B17" s="3" t="s">
        <v>21</v>
      </c>
      <c r="C17" s="1" t="s">
        <v>22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5">
      <c r="A18" s="1"/>
      <c r="B18" s="3" t="s">
        <v>23</v>
      </c>
      <c r="C18" s="1" t="s">
        <v>24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">
      <c r="A19" s="1"/>
      <c r="B19" s="3" t="s">
        <v>25</v>
      </c>
      <c r="C19" s="1" t="s">
        <v>26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">
      <c r="A20" s="1"/>
      <c r="B20" s="3" t="s">
        <v>27</v>
      </c>
      <c r="C20" s="1" t="s">
        <v>28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">
      <c r="A21" s="1"/>
      <c r="B21" s="3" t="s">
        <v>29</v>
      </c>
      <c r="C21" s="1" t="s">
        <v>30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5">
      <c r="A22" s="1"/>
      <c r="B22" s="3" t="s">
        <v>31</v>
      </c>
      <c r="C22" s="1" t="s">
        <v>32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15">
      <c r="A23" s="1"/>
      <c r="B23" s="3" t="s">
        <v>33</v>
      </c>
      <c r="C23" s="1" t="s">
        <v>34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15">
      <c r="A24" s="1"/>
      <c r="B24" s="3" t="s">
        <v>35</v>
      </c>
      <c r="C24" s="1" t="s">
        <v>36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15">
      <c r="A25" s="1"/>
      <c r="B25" s="3" t="s">
        <v>37</v>
      </c>
      <c r="C25" s="1" t="s">
        <v>38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</sheetData>
  <mergeCells count="2">
    <mergeCell ref="B4:F4"/>
    <mergeCell ref="B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20"/>
  <sheetViews>
    <sheetView topLeftCell="A22" workbookViewId="0">
      <selection activeCell="C5" sqref="C5"/>
    </sheetView>
  </sheetViews>
  <sheetFormatPr defaultRowHeight="14.25"/>
  <cols>
    <col min="1" max="1" width="3" customWidth="1"/>
    <col min="2" max="2" width="36" customWidth="1"/>
    <col min="3" max="39" width="15" customWidth="1"/>
  </cols>
  <sheetData>
    <row r="1" spans="1:39">
      <c r="A1" s="1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ht="27.95" customHeight="1">
      <c r="A2" s="1"/>
      <c r="B2" s="2" t="s">
        <v>39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15">
      <c r="A4" s="1"/>
      <c r="B4" s="22" t="s">
        <v>40</v>
      </c>
      <c r="C4" s="22" t="s">
        <v>40</v>
      </c>
      <c r="D4" s="22" t="s">
        <v>40</v>
      </c>
      <c r="E4" s="22" t="s">
        <v>40</v>
      </c>
      <c r="F4" s="22" t="s">
        <v>40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>
      <c r="A5" s="1"/>
      <c r="B5" s="1" t="s">
        <v>41</v>
      </c>
      <c r="C5" s="5" t="s">
        <v>42</v>
      </c>
      <c r="D5" s="1"/>
      <c r="E5" s="1"/>
      <c r="F5" s="1"/>
      <c r="G5" s="1"/>
      <c r="H5" s="6" t="s">
        <v>43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>
      <c r="A6" s="1"/>
      <c r="B6" s="1" t="s">
        <v>44</v>
      </c>
      <c r="C6" s="11">
        <v>0.18</v>
      </c>
      <c r="D6" s="1"/>
      <c r="E6" s="1"/>
      <c r="F6" s="1"/>
      <c r="G6" s="1"/>
      <c r="H6" s="6" t="s">
        <v>42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>
      <c r="A7" s="1"/>
      <c r="B7" s="1" t="s">
        <v>45</v>
      </c>
      <c r="C7" s="12">
        <v>1000000</v>
      </c>
      <c r="D7" s="1"/>
      <c r="E7" s="1"/>
      <c r="F7" s="1"/>
      <c r="G7" s="1"/>
      <c r="H7" s="6" t="s">
        <v>46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>
      <c r="A8" s="1"/>
      <c r="B8" s="1" t="s">
        <v>47</v>
      </c>
      <c r="C8" s="5" t="s">
        <v>48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15">
      <c r="A10" s="1"/>
      <c r="B10" s="22" t="s">
        <v>49</v>
      </c>
      <c r="C10" s="22" t="s">
        <v>49</v>
      </c>
      <c r="D10" s="22" t="s">
        <v>49</v>
      </c>
      <c r="E10" s="22" t="s">
        <v>49</v>
      </c>
      <c r="F10" s="22" t="s">
        <v>49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">
      <c r="A11" s="1"/>
      <c r="B11" s="7" t="s">
        <v>50</v>
      </c>
      <c r="C11" s="7" t="s">
        <v>51</v>
      </c>
      <c r="D11" s="7" t="s">
        <v>52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>
      <c r="A12" s="1"/>
      <c r="B12" s="1" t="s">
        <v>53</v>
      </c>
      <c r="C12" s="13">
        <v>2500</v>
      </c>
      <c r="D12" s="1" t="s">
        <v>54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>
      <c r="A13" s="1"/>
      <c r="B13" s="1" t="s">
        <v>55</v>
      </c>
      <c r="C13" s="11">
        <v>5.5E-2</v>
      </c>
      <c r="D13" s="1" t="s">
        <v>56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>
      <c r="A14" s="1"/>
      <c r="B14" s="1" t="s">
        <v>57</v>
      </c>
      <c r="C14" s="11">
        <v>3.5000000000000003E-2</v>
      </c>
      <c r="D14" s="1" t="s">
        <v>56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>
      <c r="A15" s="1"/>
      <c r="B15" s="1" t="s">
        <v>58</v>
      </c>
      <c r="C15" s="11">
        <v>0.15</v>
      </c>
      <c r="D15" s="1" t="s">
        <v>56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>
      <c r="A16" s="1"/>
      <c r="B16" s="1" t="s">
        <v>59</v>
      </c>
      <c r="C16" s="12">
        <v>25000</v>
      </c>
      <c r="D16" s="1" t="s">
        <v>60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>
      <c r="A17" s="1"/>
      <c r="B17" s="1" t="s">
        <v>61</v>
      </c>
      <c r="C17" s="11">
        <v>0.04</v>
      </c>
      <c r="D17" s="1" t="s">
        <v>56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>
      <c r="A18" s="1"/>
      <c r="B18" s="1" t="s">
        <v>62</v>
      </c>
      <c r="C18" s="12">
        <v>399</v>
      </c>
      <c r="D18" s="1" t="s">
        <v>63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>
      <c r="A19" s="1"/>
      <c r="B19" s="1" t="s">
        <v>64</v>
      </c>
      <c r="C19" s="11">
        <v>0.05</v>
      </c>
      <c r="D19" s="1" t="s">
        <v>56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>
      <c r="A20" s="1"/>
      <c r="B20" s="1" t="s">
        <v>65</v>
      </c>
      <c r="C20" s="12">
        <v>14</v>
      </c>
      <c r="D20" s="1" t="s">
        <v>66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>
      <c r="A21" s="1"/>
      <c r="B21" s="1" t="s">
        <v>67</v>
      </c>
      <c r="C21" s="12">
        <v>6</v>
      </c>
      <c r="D21" s="1" t="s">
        <v>66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"/>
      <c r="B22" s="1" t="s">
        <v>68</v>
      </c>
      <c r="C22" s="14">
        <v>0.4</v>
      </c>
      <c r="D22" s="1" t="s">
        <v>69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"/>
      <c r="B23" s="1" t="s">
        <v>70</v>
      </c>
      <c r="C23" s="12">
        <v>199</v>
      </c>
      <c r="D23" s="1" t="s">
        <v>60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"/>
      <c r="B24" s="1" t="s">
        <v>71</v>
      </c>
      <c r="C24" s="11">
        <v>0.2</v>
      </c>
      <c r="D24" s="1" t="s">
        <v>56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"/>
      <c r="B25" s="1" t="s">
        <v>72</v>
      </c>
      <c r="C25" s="13">
        <v>25</v>
      </c>
      <c r="D25" s="1" t="s">
        <v>73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"/>
      <c r="B26" s="1" t="s">
        <v>74</v>
      </c>
      <c r="C26" s="12">
        <v>299</v>
      </c>
      <c r="D26" s="1" t="s">
        <v>60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"/>
      <c r="B27" s="1" t="s">
        <v>75</v>
      </c>
      <c r="C27" s="11">
        <v>0.08</v>
      </c>
      <c r="D27" s="1" t="s">
        <v>56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"/>
      <c r="B28" s="1" t="s">
        <v>76</v>
      </c>
      <c r="C28" s="12">
        <v>300</v>
      </c>
      <c r="D28" s="1" t="s">
        <v>77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"/>
      <c r="B29" s="1" t="s">
        <v>78</v>
      </c>
      <c r="C29" s="14">
        <v>12</v>
      </c>
      <c r="D29" s="1" t="s">
        <v>79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15">
      <c r="A31" s="1"/>
      <c r="B31" s="22" t="s">
        <v>80</v>
      </c>
      <c r="C31" s="22" t="s">
        <v>80</v>
      </c>
      <c r="D31" s="22" t="s">
        <v>80</v>
      </c>
      <c r="E31" s="22" t="s">
        <v>80</v>
      </c>
      <c r="F31" s="22" t="s">
        <v>80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5">
      <c r="A32" s="1"/>
      <c r="B32" s="7" t="s">
        <v>81</v>
      </c>
      <c r="C32" s="7" t="s">
        <v>51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"/>
      <c r="B33" s="1" t="s">
        <v>82</v>
      </c>
      <c r="C33" s="12">
        <v>120000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"/>
      <c r="B34" s="1" t="s">
        <v>83</v>
      </c>
      <c r="C34" s="12">
        <v>120000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>
      <c r="A35" s="1"/>
      <c r="B35" s="1" t="s">
        <v>84</v>
      </c>
      <c r="C35" s="12">
        <v>25000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>
      <c r="A36" s="1"/>
      <c r="B36" s="1" t="s">
        <v>85</v>
      </c>
      <c r="C36" s="12">
        <v>20000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>
      <c r="A37" s="1"/>
      <c r="B37" s="1" t="s">
        <v>86</v>
      </c>
      <c r="C37" s="12">
        <v>35000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>
      <c r="A38" s="1"/>
      <c r="B38" s="1" t="s">
        <v>87</v>
      </c>
      <c r="C38" s="12">
        <v>25000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>
      <c r="A39" s="1"/>
      <c r="B39" s="1" t="s">
        <v>88</v>
      </c>
      <c r="C39" s="12">
        <v>150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15">
      <c r="A42" s="1"/>
      <c r="B42" s="22" t="s">
        <v>89</v>
      </c>
      <c r="C42" s="22" t="s">
        <v>89</v>
      </c>
      <c r="D42" s="22" t="s">
        <v>89</v>
      </c>
      <c r="E42" s="22" t="s">
        <v>89</v>
      </c>
      <c r="F42" s="22" t="s">
        <v>89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15">
      <c r="A43" s="1"/>
      <c r="B43" s="7" t="s">
        <v>90</v>
      </c>
      <c r="C43" s="7" t="s">
        <v>43</v>
      </c>
      <c r="D43" s="7" t="s">
        <v>42</v>
      </c>
      <c r="E43" s="7" t="s">
        <v>46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>
      <c r="A44" s="1"/>
      <c r="B44" s="1" t="s">
        <v>91</v>
      </c>
      <c r="C44" s="15">
        <v>0.7</v>
      </c>
      <c r="D44" s="15">
        <v>1</v>
      </c>
      <c r="E44" s="15">
        <v>1.35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>
      <c r="A45" s="1"/>
      <c r="B45" s="1" t="s">
        <v>92</v>
      </c>
      <c r="C45" s="15">
        <v>0.8</v>
      </c>
      <c r="D45" s="15">
        <v>1</v>
      </c>
      <c r="E45" s="15">
        <v>1.2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>
      <c r="A46" s="1"/>
      <c r="B46" s="1" t="s">
        <v>93</v>
      </c>
      <c r="C46" s="15">
        <v>0.75</v>
      </c>
      <c r="D46" s="15">
        <v>1</v>
      </c>
      <c r="E46" s="15">
        <v>1.25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>
      <c r="A47" s="1"/>
      <c r="B47" s="1" t="s">
        <v>94</v>
      </c>
      <c r="C47" s="15">
        <v>1.25</v>
      </c>
      <c r="D47" s="15">
        <v>1</v>
      </c>
      <c r="E47" s="15">
        <v>0.85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>
      <c r="A48" s="1"/>
      <c r="B48" s="1" t="s">
        <v>95</v>
      </c>
      <c r="C48" s="15">
        <v>1.05</v>
      </c>
      <c r="D48" s="15">
        <v>1</v>
      </c>
      <c r="E48" s="15">
        <v>1.1000000000000001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</sheetData>
  <mergeCells count="4">
    <mergeCell ref="B4:F4"/>
    <mergeCell ref="B10:F10"/>
    <mergeCell ref="B31:F31"/>
    <mergeCell ref="B42:F42"/>
  </mergeCells>
  <dataValidations count="1">
    <dataValidation type="list" sqref="C5" xr:uid="{00000000-0002-0000-0100-000000000000}">
      <formula1>$H$5:$H$7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20"/>
  <sheetViews>
    <sheetView topLeftCell="A7" workbookViewId="0"/>
  </sheetViews>
  <sheetFormatPr defaultRowHeight="14.25"/>
  <cols>
    <col min="1" max="1" width="3" customWidth="1"/>
    <col min="2" max="2" width="36" customWidth="1"/>
    <col min="3" max="39" width="15" customWidth="1"/>
  </cols>
  <sheetData>
    <row r="1" spans="1:39">
      <c r="A1" s="1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ht="27.95" customHeight="1">
      <c r="A2" s="1"/>
      <c r="B2" s="2" t="s">
        <v>96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15">
      <c r="A4" s="1"/>
      <c r="B4" s="22" t="s">
        <v>97</v>
      </c>
      <c r="C4" s="22" t="s">
        <v>97</v>
      </c>
      <c r="D4" s="22" t="s">
        <v>97</v>
      </c>
      <c r="E4" s="22" t="s">
        <v>97</v>
      </c>
      <c r="F4" s="22" t="s">
        <v>97</v>
      </c>
      <c r="G4" s="22" t="s">
        <v>97</v>
      </c>
      <c r="H4" s="22" t="s">
        <v>97</v>
      </c>
      <c r="I4" s="22" t="s">
        <v>97</v>
      </c>
      <c r="J4" s="22" t="s">
        <v>97</v>
      </c>
      <c r="K4" s="22" t="s">
        <v>97</v>
      </c>
      <c r="L4" s="22" t="s">
        <v>97</v>
      </c>
      <c r="M4" s="22" t="s">
        <v>97</v>
      </c>
      <c r="N4" s="22" t="s">
        <v>97</v>
      </c>
      <c r="O4" s="22" t="s">
        <v>97</v>
      </c>
      <c r="P4" s="22" t="s">
        <v>97</v>
      </c>
      <c r="Q4" s="22" t="s">
        <v>97</v>
      </c>
      <c r="R4" s="22" t="s">
        <v>97</v>
      </c>
      <c r="S4" s="22" t="s">
        <v>97</v>
      </c>
      <c r="T4" s="22" t="s">
        <v>97</v>
      </c>
      <c r="U4" s="22" t="s">
        <v>97</v>
      </c>
      <c r="V4" s="22" t="s">
        <v>97</v>
      </c>
      <c r="W4" s="22" t="s">
        <v>97</v>
      </c>
      <c r="X4" s="22" t="s">
        <v>97</v>
      </c>
      <c r="Y4" s="22" t="s">
        <v>97</v>
      </c>
      <c r="Z4" s="22" t="s">
        <v>97</v>
      </c>
      <c r="AA4" s="22" t="s">
        <v>97</v>
      </c>
      <c r="AB4" s="22" t="s">
        <v>97</v>
      </c>
      <c r="AC4" s="22" t="s">
        <v>97</v>
      </c>
      <c r="AD4" s="22" t="s">
        <v>97</v>
      </c>
      <c r="AE4" s="22" t="s">
        <v>97</v>
      </c>
      <c r="AF4" s="22" t="s">
        <v>97</v>
      </c>
      <c r="AG4" s="22" t="s">
        <v>97</v>
      </c>
      <c r="AH4" s="22" t="s">
        <v>97</v>
      </c>
      <c r="AI4" s="22" t="s">
        <v>97</v>
      </c>
      <c r="AJ4" s="22" t="s">
        <v>97</v>
      </c>
      <c r="AK4" s="22" t="s">
        <v>97</v>
      </c>
      <c r="AL4" s="22" t="s">
        <v>97</v>
      </c>
      <c r="AM4" s="22" t="s">
        <v>97</v>
      </c>
    </row>
    <row r="5" spans="1:39" ht="15">
      <c r="A5" s="1"/>
      <c r="B5" s="7" t="s">
        <v>90</v>
      </c>
      <c r="C5" s="7" t="s">
        <v>98</v>
      </c>
      <c r="D5" s="7" t="s">
        <v>99</v>
      </c>
      <c r="E5" s="7" t="s">
        <v>100</v>
      </c>
      <c r="F5" s="7" t="s">
        <v>101</v>
      </c>
      <c r="G5" s="7" t="s">
        <v>102</v>
      </c>
      <c r="H5" s="7" t="s">
        <v>103</v>
      </c>
      <c r="I5" s="7" t="s">
        <v>104</v>
      </c>
      <c r="J5" s="7" t="s">
        <v>105</v>
      </c>
      <c r="K5" s="7" t="s">
        <v>106</v>
      </c>
      <c r="L5" s="7" t="s">
        <v>107</v>
      </c>
      <c r="M5" s="7" t="s">
        <v>108</v>
      </c>
      <c r="N5" s="7" t="s">
        <v>109</v>
      </c>
      <c r="O5" s="7" t="s">
        <v>110</v>
      </c>
      <c r="P5" s="7" t="s">
        <v>111</v>
      </c>
      <c r="Q5" s="7" t="s">
        <v>112</v>
      </c>
      <c r="R5" s="7" t="s">
        <v>113</v>
      </c>
      <c r="S5" s="7" t="s">
        <v>114</v>
      </c>
      <c r="T5" s="7" t="s">
        <v>115</v>
      </c>
      <c r="U5" s="7" t="s">
        <v>116</v>
      </c>
      <c r="V5" s="7" t="s">
        <v>117</v>
      </c>
      <c r="W5" s="7" t="s">
        <v>118</v>
      </c>
      <c r="X5" s="7" t="s">
        <v>119</v>
      </c>
      <c r="Y5" s="7" t="s">
        <v>120</v>
      </c>
      <c r="Z5" s="7" t="s">
        <v>121</v>
      </c>
      <c r="AA5" s="7" t="s">
        <v>122</v>
      </c>
      <c r="AB5" s="7" t="s">
        <v>123</v>
      </c>
      <c r="AC5" s="7" t="s">
        <v>124</v>
      </c>
      <c r="AD5" s="7" t="s">
        <v>125</v>
      </c>
      <c r="AE5" s="7" t="s">
        <v>126</v>
      </c>
      <c r="AF5" s="7" t="s">
        <v>127</v>
      </c>
      <c r="AG5" s="7" t="s">
        <v>128</v>
      </c>
      <c r="AH5" s="7" t="s">
        <v>129</v>
      </c>
      <c r="AI5" s="7" t="s">
        <v>130</v>
      </c>
      <c r="AJ5" s="7" t="s">
        <v>131</v>
      </c>
      <c r="AK5" s="7" t="s">
        <v>132</v>
      </c>
      <c r="AL5" s="7" t="s">
        <v>133</v>
      </c>
      <c r="AM5" s="7"/>
    </row>
    <row r="6" spans="1:39" ht="15">
      <c r="A6" s="1"/>
      <c r="B6" s="7" t="s">
        <v>134</v>
      </c>
      <c r="C6" s="7">
        <v>2026</v>
      </c>
      <c r="D6" s="7">
        <v>2026</v>
      </c>
      <c r="E6" s="7">
        <v>2026</v>
      </c>
      <c r="F6" s="7">
        <v>2026</v>
      </c>
      <c r="G6" s="7">
        <v>2026</v>
      </c>
      <c r="H6" s="7">
        <v>2026</v>
      </c>
      <c r="I6" s="7">
        <v>2026</v>
      </c>
      <c r="J6" s="7">
        <v>2026</v>
      </c>
      <c r="K6" s="7">
        <v>2026</v>
      </c>
      <c r="L6" s="7">
        <v>2026</v>
      </c>
      <c r="M6" s="7">
        <v>2026</v>
      </c>
      <c r="N6" s="7">
        <v>2026</v>
      </c>
      <c r="O6" s="7">
        <v>2027</v>
      </c>
      <c r="P6" s="7">
        <v>2027</v>
      </c>
      <c r="Q6" s="7">
        <v>2027</v>
      </c>
      <c r="R6" s="7">
        <v>2027</v>
      </c>
      <c r="S6" s="7">
        <v>2027</v>
      </c>
      <c r="T6" s="7">
        <v>2027</v>
      </c>
      <c r="U6" s="7">
        <v>2027</v>
      </c>
      <c r="V6" s="7">
        <v>2027</v>
      </c>
      <c r="W6" s="7">
        <v>2027</v>
      </c>
      <c r="X6" s="7">
        <v>2027</v>
      </c>
      <c r="Y6" s="7">
        <v>2027</v>
      </c>
      <c r="Z6" s="7">
        <v>2027</v>
      </c>
      <c r="AA6" s="7">
        <v>2028</v>
      </c>
      <c r="AB6" s="7">
        <v>2028</v>
      </c>
      <c r="AC6" s="7">
        <v>2028</v>
      </c>
      <c r="AD6" s="7">
        <v>2028</v>
      </c>
      <c r="AE6" s="7">
        <v>2028</v>
      </c>
      <c r="AF6" s="7">
        <v>2028</v>
      </c>
      <c r="AG6" s="7">
        <v>2028</v>
      </c>
      <c r="AH6" s="7">
        <v>2028</v>
      </c>
      <c r="AI6" s="7">
        <v>2028</v>
      </c>
      <c r="AJ6" s="7">
        <v>2028</v>
      </c>
      <c r="AK6" s="7">
        <v>2028</v>
      </c>
      <c r="AL6" s="7">
        <v>2028</v>
      </c>
      <c r="AM6" s="7"/>
    </row>
    <row r="7" spans="1:39">
      <c r="A7" s="1"/>
      <c r="B7" s="1" t="s">
        <v>135</v>
      </c>
      <c r="C7" s="8">
        <f>Assumptions!$C$12</f>
        <v>2500</v>
      </c>
      <c r="D7" s="8">
        <f t="shared" ref="D7:AL7" si="0">C7+D8-D9</f>
        <v>2550</v>
      </c>
      <c r="E7" s="8">
        <f t="shared" si="0"/>
        <v>2601</v>
      </c>
      <c r="F7" s="8">
        <f t="shared" si="0"/>
        <v>2653.02</v>
      </c>
      <c r="G7" s="8">
        <f t="shared" si="0"/>
        <v>2706.0803999999998</v>
      </c>
      <c r="H7" s="8">
        <f t="shared" si="0"/>
        <v>2760.2020079999998</v>
      </c>
      <c r="I7" s="8">
        <f t="shared" si="0"/>
        <v>2815.40604816</v>
      </c>
      <c r="J7" s="8">
        <f t="shared" si="0"/>
        <v>2871.7141691232</v>
      </c>
      <c r="K7" s="8">
        <f t="shared" si="0"/>
        <v>2929.148452505664</v>
      </c>
      <c r="L7" s="8">
        <f t="shared" si="0"/>
        <v>2987.7314215557772</v>
      </c>
      <c r="M7" s="8">
        <f t="shared" si="0"/>
        <v>3047.4860499868923</v>
      </c>
      <c r="N7" s="8">
        <f t="shared" si="0"/>
        <v>3108.4357709866299</v>
      </c>
      <c r="O7" s="8">
        <f t="shared" si="0"/>
        <v>3170.6044864063624</v>
      </c>
      <c r="P7" s="8">
        <f t="shared" si="0"/>
        <v>3234.0165761344897</v>
      </c>
      <c r="Q7" s="8">
        <f t="shared" si="0"/>
        <v>3298.6969076571795</v>
      </c>
      <c r="R7" s="8">
        <f t="shared" si="0"/>
        <v>3364.670845810323</v>
      </c>
      <c r="S7" s="8">
        <f t="shared" si="0"/>
        <v>3431.9642627265298</v>
      </c>
      <c r="T7" s="8">
        <f t="shared" si="0"/>
        <v>3500.6035479810607</v>
      </c>
      <c r="U7" s="8">
        <f t="shared" si="0"/>
        <v>3570.615618940682</v>
      </c>
      <c r="V7" s="8">
        <f t="shared" si="0"/>
        <v>3642.0279313194956</v>
      </c>
      <c r="W7" s="8">
        <f t="shared" si="0"/>
        <v>3714.8684899458854</v>
      </c>
      <c r="X7" s="8">
        <f t="shared" si="0"/>
        <v>3789.1658597448031</v>
      </c>
      <c r="Y7" s="8">
        <f t="shared" si="0"/>
        <v>3864.9491769396991</v>
      </c>
      <c r="Z7" s="8">
        <f t="shared" si="0"/>
        <v>3942.248160478493</v>
      </c>
      <c r="AA7" s="8">
        <f t="shared" si="0"/>
        <v>4021.0931236880624</v>
      </c>
      <c r="AB7" s="8">
        <f t="shared" si="0"/>
        <v>4101.5149861618238</v>
      </c>
      <c r="AC7" s="8">
        <f t="shared" si="0"/>
        <v>4183.5452858850595</v>
      </c>
      <c r="AD7" s="8">
        <f t="shared" si="0"/>
        <v>4267.2161916027608</v>
      </c>
      <c r="AE7" s="8">
        <f t="shared" si="0"/>
        <v>4352.5605154348159</v>
      </c>
      <c r="AF7" s="8">
        <f t="shared" si="0"/>
        <v>4439.6117257435117</v>
      </c>
      <c r="AG7" s="8">
        <f t="shared" si="0"/>
        <v>4528.4039602583825</v>
      </c>
      <c r="AH7" s="8">
        <f t="shared" si="0"/>
        <v>4618.9720394635506</v>
      </c>
      <c r="AI7" s="8">
        <f t="shared" si="0"/>
        <v>4711.3514802528216</v>
      </c>
      <c r="AJ7" s="8">
        <f t="shared" si="0"/>
        <v>4805.5785098578781</v>
      </c>
      <c r="AK7" s="8">
        <f t="shared" si="0"/>
        <v>4901.6900800550357</v>
      </c>
      <c r="AL7" s="8">
        <f t="shared" si="0"/>
        <v>4999.7238816561367</v>
      </c>
      <c r="AM7" s="8"/>
    </row>
    <row r="8" spans="1:39">
      <c r="A8" s="1"/>
      <c r="B8" s="1" t="s">
        <v>136</v>
      </c>
      <c r="C8" s="8">
        <f>Assumptions!$C$12</f>
        <v>2500</v>
      </c>
      <c r="D8" s="8">
        <f>C7*Assumptions!$C$13*INDEX(Assumptions!$C$44:$E$44,1,MATCH(Assumptions!$C$5,Assumptions!$C$43:$E$43,0))</f>
        <v>137.5</v>
      </c>
      <c r="E8" s="8">
        <f>D7*Assumptions!$C$13*INDEX(Assumptions!$C$44:$E$44,1,MATCH(Assumptions!$C$5,Assumptions!$C$43:$E$43,0))</f>
        <v>140.25</v>
      </c>
      <c r="F8" s="8">
        <f>E7*Assumptions!$C$13*INDEX(Assumptions!$C$44:$E$44,1,MATCH(Assumptions!$C$5,Assumptions!$C$43:$E$43,0))</f>
        <v>143.05500000000001</v>
      </c>
      <c r="G8" s="8">
        <f>F7*Assumptions!$C$13*INDEX(Assumptions!$C$44:$E$44,1,MATCH(Assumptions!$C$5,Assumptions!$C$43:$E$43,0))</f>
        <v>145.9161</v>
      </c>
      <c r="H8" s="8">
        <f>G7*Assumptions!$C$13*INDEX(Assumptions!$C$44:$E$44,1,MATCH(Assumptions!$C$5,Assumptions!$C$43:$E$43,0))</f>
        <v>148.83442199999999</v>
      </c>
      <c r="I8" s="8">
        <f>H7*Assumptions!$C$13*INDEX(Assumptions!$C$44:$E$44,1,MATCH(Assumptions!$C$5,Assumptions!$C$43:$E$43,0))</f>
        <v>151.81111043999999</v>
      </c>
      <c r="J8" s="8">
        <f>I7*Assumptions!$C$13*INDEX(Assumptions!$C$44:$E$44,1,MATCH(Assumptions!$C$5,Assumptions!$C$43:$E$43,0))</f>
        <v>154.84733264880001</v>
      </c>
      <c r="K8" s="8">
        <f>J7*Assumptions!$C$13*INDEX(Assumptions!$C$44:$E$44,1,MATCH(Assumptions!$C$5,Assumptions!$C$43:$E$43,0))</f>
        <v>157.94427930177599</v>
      </c>
      <c r="L8" s="8">
        <f>K7*Assumptions!$C$13*INDEX(Assumptions!$C$44:$E$44,1,MATCH(Assumptions!$C$5,Assumptions!$C$43:$E$43,0))</f>
        <v>161.10316488781152</v>
      </c>
      <c r="M8" s="8">
        <f>L7*Assumptions!$C$13*INDEX(Assumptions!$C$44:$E$44,1,MATCH(Assumptions!$C$5,Assumptions!$C$43:$E$43,0))</f>
        <v>164.32522818556774</v>
      </c>
      <c r="N8" s="8">
        <f>M7*Assumptions!$C$13*INDEX(Assumptions!$C$44:$E$44,1,MATCH(Assumptions!$C$5,Assumptions!$C$43:$E$43,0))</f>
        <v>167.61173274927907</v>
      </c>
      <c r="O8" s="8">
        <f>N7*Assumptions!$C$13*INDEX(Assumptions!$C$44:$E$44,1,MATCH(Assumptions!$C$5,Assumptions!$C$43:$E$43,0))</f>
        <v>170.96396740426465</v>
      </c>
      <c r="P8" s="8">
        <f>O7*Assumptions!$C$13*INDEX(Assumptions!$C$44:$E$44,1,MATCH(Assumptions!$C$5,Assumptions!$C$43:$E$43,0))</f>
        <v>174.38324675234995</v>
      </c>
      <c r="Q8" s="8">
        <f>P7*Assumptions!$C$13*INDEX(Assumptions!$C$44:$E$44,1,MATCH(Assumptions!$C$5,Assumptions!$C$43:$E$43,0))</f>
        <v>177.87091168739693</v>
      </c>
      <c r="R8" s="8">
        <f>Q7*Assumptions!$C$13*INDEX(Assumptions!$C$44:$E$44,1,MATCH(Assumptions!$C$5,Assumptions!$C$43:$E$43,0))</f>
        <v>181.42832992114487</v>
      </c>
      <c r="S8" s="8">
        <f>R7*Assumptions!$C$13*INDEX(Assumptions!$C$44:$E$44,1,MATCH(Assumptions!$C$5,Assumptions!$C$43:$E$43,0))</f>
        <v>185.05689651956777</v>
      </c>
      <c r="T8" s="8">
        <f>S7*Assumptions!$C$13*INDEX(Assumptions!$C$44:$E$44,1,MATCH(Assumptions!$C$5,Assumptions!$C$43:$E$43,0))</f>
        <v>188.75803444995913</v>
      </c>
      <c r="U8" s="8">
        <f>T7*Assumptions!$C$13*INDEX(Assumptions!$C$44:$E$44,1,MATCH(Assumptions!$C$5,Assumptions!$C$43:$E$43,0))</f>
        <v>192.53319513895835</v>
      </c>
      <c r="V8" s="8">
        <f>U7*Assumptions!$C$13*INDEX(Assumptions!$C$44:$E$44,1,MATCH(Assumptions!$C$5,Assumptions!$C$43:$E$43,0))</f>
        <v>196.38385904173751</v>
      </c>
      <c r="W8" s="8">
        <f>V7*Assumptions!$C$13*INDEX(Assumptions!$C$44:$E$44,1,MATCH(Assumptions!$C$5,Assumptions!$C$43:$E$43,0))</f>
        <v>200.31153622257224</v>
      </c>
      <c r="X8" s="8">
        <f>W7*Assumptions!$C$13*INDEX(Assumptions!$C$44:$E$44,1,MATCH(Assumptions!$C$5,Assumptions!$C$43:$E$43,0))</f>
        <v>204.3177669470237</v>
      </c>
      <c r="Y8" s="8">
        <f>X7*Assumptions!$C$13*INDEX(Assumptions!$C$44:$E$44,1,MATCH(Assumptions!$C$5,Assumptions!$C$43:$E$43,0))</f>
        <v>208.40412228596418</v>
      </c>
      <c r="Z8" s="8">
        <f>Y7*Assumptions!$C$13*INDEX(Assumptions!$C$44:$E$44,1,MATCH(Assumptions!$C$5,Assumptions!$C$43:$E$43,0))</f>
        <v>212.57220473168346</v>
      </c>
      <c r="AA8" s="8">
        <f>Z7*Assumptions!$C$13*INDEX(Assumptions!$C$44:$E$44,1,MATCH(Assumptions!$C$5,Assumptions!$C$43:$E$43,0))</f>
        <v>216.82364882631711</v>
      </c>
      <c r="AB8" s="8">
        <f>AA7*Assumptions!$C$13*INDEX(Assumptions!$C$44:$E$44,1,MATCH(Assumptions!$C$5,Assumptions!$C$43:$E$43,0))</f>
        <v>221.16012180284343</v>
      </c>
      <c r="AC8" s="8">
        <f>AB7*Assumptions!$C$13*INDEX(Assumptions!$C$44:$E$44,1,MATCH(Assumptions!$C$5,Assumptions!$C$43:$E$43,0))</f>
        <v>225.5833242389003</v>
      </c>
      <c r="AD8" s="8">
        <f>AC7*Assumptions!$C$13*INDEX(Assumptions!$C$44:$E$44,1,MATCH(Assumptions!$C$5,Assumptions!$C$43:$E$43,0))</f>
        <v>230.09499072367828</v>
      </c>
      <c r="AE8" s="8">
        <f>AD7*Assumptions!$C$13*INDEX(Assumptions!$C$44:$E$44,1,MATCH(Assumptions!$C$5,Assumptions!$C$43:$E$43,0))</f>
        <v>234.69689053815185</v>
      </c>
      <c r="AF8" s="8">
        <f>AE7*Assumptions!$C$13*INDEX(Assumptions!$C$44:$E$44,1,MATCH(Assumptions!$C$5,Assumptions!$C$43:$E$43,0))</f>
        <v>239.39082834891488</v>
      </c>
      <c r="AG8" s="8">
        <f>AF7*Assumptions!$C$13*INDEX(Assumptions!$C$44:$E$44,1,MATCH(Assumptions!$C$5,Assumptions!$C$43:$E$43,0))</f>
        <v>244.17864491589313</v>
      </c>
      <c r="AH8" s="8">
        <f>AG7*Assumptions!$C$13*INDEX(Assumptions!$C$44:$E$44,1,MATCH(Assumptions!$C$5,Assumptions!$C$43:$E$43,0))</f>
        <v>249.06221781421104</v>
      </c>
      <c r="AI8" s="8">
        <f>AH7*Assumptions!$C$13*INDEX(Assumptions!$C$44:$E$44,1,MATCH(Assumptions!$C$5,Assumptions!$C$43:$E$43,0))</f>
        <v>254.04346217049527</v>
      </c>
      <c r="AJ8" s="8">
        <f>AI7*Assumptions!$C$13*INDEX(Assumptions!$C$44:$E$44,1,MATCH(Assumptions!$C$5,Assumptions!$C$43:$E$43,0))</f>
        <v>259.12433141390517</v>
      </c>
      <c r="AK8" s="8">
        <f>AJ7*Assumptions!$C$13*INDEX(Assumptions!$C$44:$E$44,1,MATCH(Assumptions!$C$5,Assumptions!$C$43:$E$43,0))</f>
        <v>264.30681804218329</v>
      </c>
      <c r="AL8" s="8">
        <f>AK7*Assumptions!$C$13*INDEX(Assumptions!$C$44:$E$44,1,MATCH(Assumptions!$C$5,Assumptions!$C$43:$E$43,0))</f>
        <v>269.59295440302697</v>
      </c>
      <c r="AM8" s="8"/>
    </row>
    <row r="9" spans="1:39">
      <c r="A9" s="1"/>
      <c r="B9" s="1" t="s">
        <v>137</v>
      </c>
      <c r="C9" s="8">
        <f>0</f>
        <v>0</v>
      </c>
      <c r="D9" s="8">
        <f>C7*Assumptions!$C$14</f>
        <v>87.500000000000014</v>
      </c>
      <c r="E9" s="8">
        <f>D7*Assumptions!$C$14</f>
        <v>89.250000000000014</v>
      </c>
      <c r="F9" s="8">
        <f>E7*Assumptions!$C$14</f>
        <v>91.035000000000011</v>
      </c>
      <c r="G9" s="8">
        <f>F7*Assumptions!$C$14</f>
        <v>92.855700000000013</v>
      </c>
      <c r="H9" s="8">
        <f>G7*Assumptions!$C$14</f>
        <v>94.712814000000009</v>
      </c>
      <c r="I9" s="8">
        <f>H7*Assumptions!$C$14</f>
        <v>96.607070280000002</v>
      </c>
      <c r="J9" s="8">
        <f>I7*Assumptions!$C$14</f>
        <v>98.539211685600009</v>
      </c>
      <c r="K9" s="8">
        <f>J7*Assumptions!$C$14</f>
        <v>100.509995919312</v>
      </c>
      <c r="L9" s="8">
        <f>K7*Assumptions!$C$14</f>
        <v>102.52019583769825</v>
      </c>
      <c r="M9" s="8">
        <f>L7*Assumptions!$C$14</f>
        <v>104.57059975445222</v>
      </c>
      <c r="N9" s="8">
        <f>M7*Assumptions!$C$14</f>
        <v>106.66201174954124</v>
      </c>
      <c r="O9" s="8">
        <f>N7*Assumptions!$C$14</f>
        <v>108.79525198453206</v>
      </c>
      <c r="P9" s="8">
        <f>O7*Assumptions!$C$14</f>
        <v>110.97115702422269</v>
      </c>
      <c r="Q9" s="8">
        <f>P7*Assumptions!$C$14</f>
        <v>113.19058016470716</v>
      </c>
      <c r="R9" s="8">
        <f>Q7*Assumptions!$C$14</f>
        <v>115.45439176800129</v>
      </c>
      <c r="S9" s="8">
        <f>R7*Assumptions!$C$14</f>
        <v>117.76347960336132</v>
      </c>
      <c r="T9" s="8">
        <f>S7*Assumptions!$C$14</f>
        <v>120.11874919542855</v>
      </c>
      <c r="U9" s="8">
        <f>T7*Assumptions!$C$14</f>
        <v>122.52112417933714</v>
      </c>
      <c r="V9" s="8">
        <f>U7*Assumptions!$C$14</f>
        <v>124.97154666292388</v>
      </c>
      <c r="W9" s="8">
        <f>V7*Assumptions!$C$14</f>
        <v>127.47097759618235</v>
      </c>
      <c r="X9" s="8">
        <f>W7*Assumptions!$C$14</f>
        <v>130.02039714810601</v>
      </c>
      <c r="Y9" s="8">
        <f>X7*Assumptions!$C$14</f>
        <v>132.62080509106812</v>
      </c>
      <c r="Z9" s="8">
        <f>Y7*Assumptions!$C$14</f>
        <v>135.27322119288948</v>
      </c>
      <c r="AA9" s="8">
        <f>Z7*Assumptions!$C$14</f>
        <v>137.97868561674727</v>
      </c>
      <c r="AB9" s="8">
        <f>AA7*Assumptions!$C$14</f>
        <v>140.73825932908221</v>
      </c>
      <c r="AC9" s="8">
        <f>AB7*Assumptions!$C$14</f>
        <v>143.55302451566385</v>
      </c>
      <c r="AD9" s="8">
        <f>AC7*Assumptions!$C$14</f>
        <v>146.4240850059771</v>
      </c>
      <c r="AE9" s="8">
        <f>AD7*Assumptions!$C$14</f>
        <v>149.35256670609664</v>
      </c>
      <c r="AF9" s="8">
        <f>AE7*Assumptions!$C$14</f>
        <v>152.33961804021857</v>
      </c>
      <c r="AG9" s="8">
        <f>AF7*Assumptions!$C$14</f>
        <v>155.38641040102291</v>
      </c>
      <c r="AH9" s="8">
        <f>AG7*Assumptions!$C$14</f>
        <v>158.4941386090434</v>
      </c>
      <c r="AI9" s="8">
        <f>AH7*Assumptions!$C$14</f>
        <v>161.66402138122427</v>
      </c>
      <c r="AJ9" s="8">
        <f>AI7*Assumptions!$C$14</f>
        <v>164.89730180884877</v>
      </c>
      <c r="AK9" s="8">
        <f>AJ7*Assumptions!$C$14</f>
        <v>168.19524784502576</v>
      </c>
      <c r="AL9" s="8">
        <f>AK7*Assumptions!$C$14</f>
        <v>171.55915280192627</v>
      </c>
      <c r="AM9" s="8"/>
    </row>
    <row r="10" spans="1:39">
      <c r="A10" s="1"/>
      <c r="B10" s="1" t="s">
        <v>138</v>
      </c>
      <c r="C10" s="8">
        <f>C7*Assumptions!$C$15*INDEX(Assumptions!$C$45:$E$45,1,MATCH(Assumptions!$C$5,Assumptions!$C$43:$E$43,0))</f>
        <v>375</v>
      </c>
      <c r="D10" s="8">
        <f>D7*Assumptions!$C$15*INDEX(Assumptions!$C$45:$E$45,1,MATCH(Assumptions!$C$5,Assumptions!$C$43:$E$43,0))</f>
        <v>382.5</v>
      </c>
      <c r="E10" s="8">
        <f>E7*Assumptions!$C$15*INDEX(Assumptions!$C$45:$E$45,1,MATCH(Assumptions!$C$5,Assumptions!$C$43:$E$43,0))</f>
        <v>390.15</v>
      </c>
      <c r="F10" s="8">
        <f>F7*Assumptions!$C$15*INDEX(Assumptions!$C$45:$E$45,1,MATCH(Assumptions!$C$5,Assumptions!$C$43:$E$43,0))</f>
        <v>397.95299999999997</v>
      </c>
      <c r="G10" s="8">
        <f>G7*Assumptions!$C$15*INDEX(Assumptions!$C$45:$E$45,1,MATCH(Assumptions!$C$5,Assumptions!$C$43:$E$43,0))</f>
        <v>405.91205999999994</v>
      </c>
      <c r="H10" s="8">
        <f>H7*Assumptions!$C$15*INDEX(Assumptions!$C$45:$E$45,1,MATCH(Assumptions!$C$5,Assumptions!$C$43:$E$43,0))</f>
        <v>414.03030119999994</v>
      </c>
      <c r="I10" s="8">
        <f>I7*Assumptions!$C$15*INDEX(Assumptions!$C$45:$E$45,1,MATCH(Assumptions!$C$5,Assumptions!$C$43:$E$43,0))</f>
        <v>422.310907224</v>
      </c>
      <c r="J10" s="8">
        <f>J7*Assumptions!$C$15*INDEX(Assumptions!$C$45:$E$45,1,MATCH(Assumptions!$C$5,Assumptions!$C$43:$E$43,0))</f>
        <v>430.75712536847999</v>
      </c>
      <c r="K10" s="8">
        <f>K7*Assumptions!$C$15*INDEX(Assumptions!$C$45:$E$45,1,MATCH(Assumptions!$C$5,Assumptions!$C$43:$E$43,0))</f>
        <v>439.37226787584956</v>
      </c>
      <c r="L10" s="8">
        <f>L7*Assumptions!$C$15*INDEX(Assumptions!$C$45:$E$45,1,MATCH(Assumptions!$C$5,Assumptions!$C$43:$E$43,0))</f>
        <v>448.15971323336657</v>
      </c>
      <c r="M10" s="8">
        <f>M7*Assumptions!$C$15*INDEX(Assumptions!$C$45:$E$45,1,MATCH(Assumptions!$C$5,Assumptions!$C$43:$E$43,0))</f>
        <v>457.12290749803384</v>
      </c>
      <c r="N10" s="8">
        <f>N7*Assumptions!$C$15*INDEX(Assumptions!$C$45:$E$45,1,MATCH(Assumptions!$C$5,Assumptions!$C$43:$E$43,0))</f>
        <v>466.26536564799449</v>
      </c>
      <c r="O10" s="8">
        <f>O7*Assumptions!$C$15*INDEX(Assumptions!$C$45:$E$45,1,MATCH(Assumptions!$C$5,Assumptions!$C$43:$E$43,0))</f>
        <v>475.59067296095435</v>
      </c>
      <c r="P10" s="8">
        <f>P7*Assumptions!$C$15*INDEX(Assumptions!$C$45:$E$45,1,MATCH(Assumptions!$C$5,Assumptions!$C$43:$E$43,0))</f>
        <v>485.10248642017342</v>
      </c>
      <c r="Q10" s="8">
        <f>Q7*Assumptions!$C$15*INDEX(Assumptions!$C$45:$E$45,1,MATCH(Assumptions!$C$5,Assumptions!$C$43:$E$43,0))</f>
        <v>494.80453614857691</v>
      </c>
      <c r="R10" s="8">
        <f>R7*Assumptions!$C$15*INDEX(Assumptions!$C$45:$E$45,1,MATCH(Assumptions!$C$5,Assumptions!$C$43:$E$43,0))</f>
        <v>504.70062687154842</v>
      </c>
      <c r="S10" s="8">
        <f>S7*Assumptions!$C$15*INDEX(Assumptions!$C$45:$E$45,1,MATCH(Assumptions!$C$5,Assumptions!$C$43:$E$43,0))</f>
        <v>514.79463940897949</v>
      </c>
      <c r="T10" s="8">
        <f>T7*Assumptions!$C$15*INDEX(Assumptions!$C$45:$E$45,1,MATCH(Assumptions!$C$5,Assumptions!$C$43:$E$43,0))</f>
        <v>525.09053219715906</v>
      </c>
      <c r="U10" s="8">
        <f>U7*Assumptions!$C$15*INDEX(Assumptions!$C$45:$E$45,1,MATCH(Assumptions!$C$5,Assumptions!$C$43:$E$43,0))</f>
        <v>535.59234284110232</v>
      </c>
      <c r="V10" s="8">
        <f>V7*Assumptions!$C$15*INDEX(Assumptions!$C$45:$E$45,1,MATCH(Assumptions!$C$5,Assumptions!$C$43:$E$43,0))</f>
        <v>546.30418969792436</v>
      </c>
      <c r="W10" s="8">
        <f>W7*Assumptions!$C$15*INDEX(Assumptions!$C$45:$E$45,1,MATCH(Assumptions!$C$5,Assumptions!$C$43:$E$43,0))</f>
        <v>557.23027349188283</v>
      </c>
      <c r="X10" s="8">
        <f>X7*Assumptions!$C$15*INDEX(Assumptions!$C$45:$E$45,1,MATCH(Assumptions!$C$5,Assumptions!$C$43:$E$43,0))</f>
        <v>568.37487896172047</v>
      </c>
      <c r="Y10" s="8">
        <f>Y7*Assumptions!$C$15*INDEX(Assumptions!$C$45:$E$45,1,MATCH(Assumptions!$C$5,Assumptions!$C$43:$E$43,0))</f>
        <v>579.74237654095487</v>
      </c>
      <c r="Z10" s="8">
        <f>Z7*Assumptions!$C$15*INDEX(Assumptions!$C$45:$E$45,1,MATCH(Assumptions!$C$5,Assumptions!$C$43:$E$43,0))</f>
        <v>591.3372240717739</v>
      </c>
      <c r="AA10" s="8">
        <f>AA7*Assumptions!$C$15*INDEX(Assumptions!$C$45:$E$45,1,MATCH(Assumptions!$C$5,Assumptions!$C$43:$E$43,0))</f>
        <v>603.16396855320932</v>
      </c>
      <c r="AB10" s="8">
        <f>AB7*Assumptions!$C$15*INDEX(Assumptions!$C$45:$E$45,1,MATCH(Assumptions!$C$5,Assumptions!$C$43:$E$43,0))</f>
        <v>615.22724792427357</v>
      </c>
      <c r="AC10" s="8">
        <f>AC7*Assumptions!$C$15*INDEX(Assumptions!$C$45:$E$45,1,MATCH(Assumptions!$C$5,Assumptions!$C$43:$E$43,0))</f>
        <v>627.53179288275885</v>
      </c>
      <c r="AD10" s="8">
        <f>AD7*Assumptions!$C$15*INDEX(Assumptions!$C$45:$E$45,1,MATCH(Assumptions!$C$5,Assumptions!$C$43:$E$43,0))</f>
        <v>640.08242874041412</v>
      </c>
      <c r="AE10" s="8">
        <f>AE7*Assumptions!$C$15*INDEX(Assumptions!$C$45:$E$45,1,MATCH(Assumptions!$C$5,Assumptions!$C$43:$E$43,0))</f>
        <v>652.88407731522238</v>
      </c>
      <c r="AF10" s="8">
        <f>AF7*Assumptions!$C$15*INDEX(Assumptions!$C$45:$E$45,1,MATCH(Assumptions!$C$5,Assumptions!$C$43:$E$43,0))</f>
        <v>665.94175886152675</v>
      </c>
      <c r="AG10" s="8">
        <f>AG7*Assumptions!$C$15*INDEX(Assumptions!$C$45:$E$45,1,MATCH(Assumptions!$C$5,Assumptions!$C$43:$E$43,0))</f>
        <v>679.2605940387574</v>
      </c>
      <c r="AH10" s="8">
        <f>AH7*Assumptions!$C$15*INDEX(Assumptions!$C$45:$E$45,1,MATCH(Assumptions!$C$5,Assumptions!$C$43:$E$43,0))</f>
        <v>692.84580591953261</v>
      </c>
      <c r="AI10" s="8">
        <f>AI7*Assumptions!$C$15*INDEX(Assumptions!$C$45:$E$45,1,MATCH(Assumptions!$C$5,Assumptions!$C$43:$E$43,0))</f>
        <v>706.70272203792319</v>
      </c>
      <c r="AJ10" s="8">
        <f>AJ7*Assumptions!$C$15*INDEX(Assumptions!$C$45:$E$45,1,MATCH(Assumptions!$C$5,Assumptions!$C$43:$E$43,0))</f>
        <v>720.83677647868171</v>
      </c>
      <c r="AK10" s="8">
        <f>AK7*Assumptions!$C$15*INDEX(Assumptions!$C$45:$E$45,1,MATCH(Assumptions!$C$5,Assumptions!$C$43:$E$43,0))</f>
        <v>735.25351200825537</v>
      </c>
      <c r="AL10" s="8">
        <f>AL7*Assumptions!$C$15*INDEX(Assumptions!$C$45:$E$45,1,MATCH(Assumptions!$C$5,Assumptions!$C$43:$E$43,0))</f>
        <v>749.9585822484205</v>
      </c>
      <c r="AM10" s="8"/>
    </row>
    <row r="11" spans="1:39">
      <c r="A11" s="1"/>
      <c r="B11" s="1" t="s">
        <v>139</v>
      </c>
      <c r="C11" s="16">
        <f>C10*Assumptions!$C$16*Assumptions!$C$17</f>
        <v>375000</v>
      </c>
      <c r="D11" s="16">
        <f>D10*Assumptions!$C$16*Assumptions!$C$17</f>
        <v>382500</v>
      </c>
      <c r="E11" s="16">
        <f>E10*Assumptions!$C$16*Assumptions!$C$17</f>
        <v>390150</v>
      </c>
      <c r="F11" s="16">
        <f>F10*Assumptions!$C$16*Assumptions!$C$17</f>
        <v>397953</v>
      </c>
      <c r="G11" s="16">
        <f>G10*Assumptions!$C$16*Assumptions!$C$17</f>
        <v>405912.05999999994</v>
      </c>
      <c r="H11" s="16">
        <f>H10*Assumptions!$C$16*Assumptions!$C$17</f>
        <v>414030.30119999999</v>
      </c>
      <c r="I11" s="16">
        <f>I10*Assumptions!$C$16*Assumptions!$C$17</f>
        <v>422310.90722400002</v>
      </c>
      <c r="J11" s="16">
        <f>J10*Assumptions!$C$16*Assumptions!$C$17</f>
        <v>430757.12536848005</v>
      </c>
      <c r="K11" s="16">
        <f>K10*Assumptions!$C$16*Assumptions!$C$17</f>
        <v>439372.26787584956</v>
      </c>
      <c r="L11" s="16">
        <f>L10*Assumptions!$C$16*Assumptions!$C$17</f>
        <v>448159.71323336661</v>
      </c>
      <c r="M11" s="16">
        <f>M10*Assumptions!$C$16*Assumptions!$C$17</f>
        <v>457122.90749803389</v>
      </c>
      <c r="N11" s="16">
        <f>N10*Assumptions!$C$16*Assumptions!$C$17</f>
        <v>466265.36564799451</v>
      </c>
      <c r="O11" s="16">
        <f>O10*Assumptions!$C$16*Assumptions!$C$17</f>
        <v>475590.67296095437</v>
      </c>
      <c r="P11" s="16">
        <f>P10*Assumptions!$C$16*Assumptions!$C$17</f>
        <v>485102.48642017343</v>
      </c>
      <c r="Q11" s="16">
        <f>Q10*Assumptions!$C$16*Assumptions!$C$17</f>
        <v>494804.53614857688</v>
      </c>
      <c r="R11" s="16">
        <f>R10*Assumptions!$C$16*Assumptions!$C$17</f>
        <v>504700.62687154848</v>
      </c>
      <c r="S11" s="16">
        <f>S10*Assumptions!$C$16*Assumptions!$C$17</f>
        <v>514794.63940897951</v>
      </c>
      <c r="T11" s="16">
        <f>T10*Assumptions!$C$16*Assumptions!$C$17</f>
        <v>525090.53219715913</v>
      </c>
      <c r="U11" s="16">
        <f>U10*Assumptions!$C$16*Assumptions!$C$17</f>
        <v>535592.34284110239</v>
      </c>
      <c r="V11" s="16">
        <f>V10*Assumptions!$C$16*Assumptions!$C$17</f>
        <v>546304.1896979243</v>
      </c>
      <c r="W11" s="16">
        <f>W10*Assumptions!$C$16*Assumptions!$C$17</f>
        <v>557230.27349188284</v>
      </c>
      <c r="X11" s="16">
        <f>X10*Assumptions!$C$16*Assumptions!$C$17</f>
        <v>568374.8789617205</v>
      </c>
      <c r="Y11" s="16">
        <f>Y10*Assumptions!$C$16*Assumptions!$C$17</f>
        <v>579742.37654095492</v>
      </c>
      <c r="Z11" s="16">
        <f>Z10*Assumptions!$C$16*Assumptions!$C$17</f>
        <v>591337.22407177393</v>
      </c>
      <c r="AA11" s="16">
        <f>AA10*Assumptions!$C$16*Assumptions!$C$17</f>
        <v>603163.96855320933</v>
      </c>
      <c r="AB11" s="16">
        <f>AB10*Assumptions!$C$16*Assumptions!$C$17</f>
        <v>615227.2479242736</v>
      </c>
      <c r="AC11" s="16">
        <f>AC10*Assumptions!$C$16*Assumptions!$C$17</f>
        <v>627531.79288275889</v>
      </c>
      <c r="AD11" s="16">
        <f>AD10*Assumptions!$C$16*Assumptions!$C$17</f>
        <v>640082.42874041409</v>
      </c>
      <c r="AE11" s="16">
        <f>AE10*Assumptions!$C$16*Assumptions!$C$17</f>
        <v>652884.07731522236</v>
      </c>
      <c r="AF11" s="16">
        <f>AF10*Assumptions!$C$16*Assumptions!$C$17</f>
        <v>665941.75886152673</v>
      </c>
      <c r="AG11" s="16">
        <f>AG10*Assumptions!$C$16*Assumptions!$C$17</f>
        <v>679260.59403875738</v>
      </c>
      <c r="AH11" s="16">
        <f>AH10*Assumptions!$C$16*Assumptions!$C$17</f>
        <v>692845.80591953266</v>
      </c>
      <c r="AI11" s="16">
        <f>AI10*Assumptions!$C$16*Assumptions!$C$17</f>
        <v>706702.72203792317</v>
      </c>
      <c r="AJ11" s="16">
        <f>AJ10*Assumptions!$C$16*Assumptions!$C$17</f>
        <v>720836.77647868171</v>
      </c>
      <c r="AK11" s="16">
        <f>AK10*Assumptions!$C$16*Assumptions!$C$17</f>
        <v>735253.51200825546</v>
      </c>
      <c r="AL11" s="16">
        <f>AL10*Assumptions!$C$16*Assumptions!$C$17</f>
        <v>749958.58224842057</v>
      </c>
      <c r="AM11" s="16"/>
    </row>
    <row r="12" spans="1:39">
      <c r="A12" s="1"/>
      <c r="B12" s="1" t="s">
        <v>140</v>
      </c>
      <c r="C12" s="8">
        <f>C7*Assumptions!$C$19*INDEX(Assumptions!$C$46:$E$46,1,MATCH(Assumptions!$C$5,Assumptions!$C$43:$E$43,0))</f>
        <v>125</v>
      </c>
      <c r="D12" s="8">
        <f>D7*Assumptions!$C$19*INDEX(Assumptions!$C$46:$E$46,1,MATCH(Assumptions!$C$5,Assumptions!$C$43:$E$43,0))</f>
        <v>127.5</v>
      </c>
      <c r="E12" s="8">
        <f>E7*Assumptions!$C$19*INDEX(Assumptions!$C$46:$E$46,1,MATCH(Assumptions!$C$5,Assumptions!$C$43:$E$43,0))</f>
        <v>130.05000000000001</v>
      </c>
      <c r="F12" s="8">
        <f>F7*Assumptions!$C$19*INDEX(Assumptions!$C$46:$E$46,1,MATCH(Assumptions!$C$5,Assumptions!$C$43:$E$43,0))</f>
        <v>132.65100000000001</v>
      </c>
      <c r="G12" s="8">
        <f>G7*Assumptions!$C$19*INDEX(Assumptions!$C$46:$E$46,1,MATCH(Assumptions!$C$5,Assumptions!$C$43:$E$43,0))</f>
        <v>135.30402000000001</v>
      </c>
      <c r="H12" s="8">
        <f>H7*Assumptions!$C$19*INDEX(Assumptions!$C$46:$E$46,1,MATCH(Assumptions!$C$5,Assumptions!$C$43:$E$43,0))</f>
        <v>138.0101004</v>
      </c>
      <c r="I12" s="8">
        <f>I7*Assumptions!$C$19*INDEX(Assumptions!$C$46:$E$46,1,MATCH(Assumptions!$C$5,Assumptions!$C$43:$E$43,0))</f>
        <v>140.77030240799999</v>
      </c>
      <c r="J12" s="8">
        <f>J7*Assumptions!$C$19*INDEX(Assumptions!$C$46:$E$46,1,MATCH(Assumptions!$C$5,Assumptions!$C$43:$E$43,0))</f>
        <v>143.58570845616001</v>
      </c>
      <c r="K12" s="8">
        <f>K7*Assumptions!$C$19*INDEX(Assumptions!$C$46:$E$46,1,MATCH(Assumptions!$C$5,Assumptions!$C$43:$E$43,0))</f>
        <v>146.45742262528321</v>
      </c>
      <c r="L12" s="8">
        <f>L7*Assumptions!$C$19*INDEX(Assumptions!$C$46:$E$46,1,MATCH(Assumptions!$C$5,Assumptions!$C$43:$E$43,0))</f>
        <v>149.38657107778886</v>
      </c>
      <c r="M12" s="8">
        <f>M7*Assumptions!$C$19*INDEX(Assumptions!$C$46:$E$46,1,MATCH(Assumptions!$C$5,Assumptions!$C$43:$E$43,0))</f>
        <v>152.37430249934462</v>
      </c>
      <c r="N12" s="8">
        <f>N7*Assumptions!$C$19*INDEX(Assumptions!$C$46:$E$46,1,MATCH(Assumptions!$C$5,Assumptions!$C$43:$E$43,0))</f>
        <v>155.4217885493315</v>
      </c>
      <c r="O12" s="8">
        <f>O7*Assumptions!$C$19*INDEX(Assumptions!$C$46:$E$46,1,MATCH(Assumptions!$C$5,Assumptions!$C$43:$E$43,0))</f>
        <v>158.53022432031813</v>
      </c>
      <c r="P12" s="8">
        <f>P7*Assumptions!$C$19*INDEX(Assumptions!$C$46:$E$46,1,MATCH(Assumptions!$C$5,Assumptions!$C$43:$E$43,0))</f>
        <v>161.7008288067245</v>
      </c>
      <c r="Q12" s="8">
        <f>Q7*Assumptions!$C$19*INDEX(Assumptions!$C$46:$E$46,1,MATCH(Assumptions!$C$5,Assumptions!$C$43:$E$43,0))</f>
        <v>164.93484538285898</v>
      </c>
      <c r="R12" s="8">
        <f>R7*Assumptions!$C$19*INDEX(Assumptions!$C$46:$E$46,1,MATCH(Assumptions!$C$5,Assumptions!$C$43:$E$43,0))</f>
        <v>168.23354229051617</v>
      </c>
      <c r="S12" s="8">
        <f>S7*Assumptions!$C$19*INDEX(Assumptions!$C$46:$E$46,1,MATCH(Assumptions!$C$5,Assumptions!$C$43:$E$43,0))</f>
        <v>171.59821313632651</v>
      </c>
      <c r="T12" s="8">
        <f>T7*Assumptions!$C$19*INDEX(Assumptions!$C$46:$E$46,1,MATCH(Assumptions!$C$5,Assumptions!$C$43:$E$43,0))</f>
        <v>175.03017739905306</v>
      </c>
      <c r="U12" s="8">
        <f>U7*Assumptions!$C$19*INDEX(Assumptions!$C$46:$E$46,1,MATCH(Assumptions!$C$5,Assumptions!$C$43:$E$43,0))</f>
        <v>178.53078094703412</v>
      </c>
      <c r="V12" s="8">
        <f>V7*Assumptions!$C$19*INDEX(Assumptions!$C$46:$E$46,1,MATCH(Assumptions!$C$5,Assumptions!$C$43:$E$43,0))</f>
        <v>182.1013965659748</v>
      </c>
      <c r="W12" s="8">
        <f>W7*Assumptions!$C$19*INDEX(Assumptions!$C$46:$E$46,1,MATCH(Assumptions!$C$5,Assumptions!$C$43:$E$43,0))</f>
        <v>185.74342449729428</v>
      </c>
      <c r="X12" s="8">
        <f>X7*Assumptions!$C$19*INDEX(Assumptions!$C$46:$E$46,1,MATCH(Assumptions!$C$5,Assumptions!$C$43:$E$43,0))</f>
        <v>189.45829298724016</v>
      </c>
      <c r="Y12" s="8">
        <f>Y7*Assumptions!$C$19*INDEX(Assumptions!$C$46:$E$46,1,MATCH(Assumptions!$C$5,Assumptions!$C$43:$E$43,0))</f>
        <v>193.24745884698496</v>
      </c>
      <c r="Z12" s="8">
        <f>Z7*Assumptions!$C$19*INDEX(Assumptions!$C$46:$E$46,1,MATCH(Assumptions!$C$5,Assumptions!$C$43:$E$43,0))</f>
        <v>197.11240802392467</v>
      </c>
      <c r="AA12" s="8">
        <f>AA7*Assumptions!$C$19*INDEX(Assumptions!$C$46:$E$46,1,MATCH(Assumptions!$C$5,Assumptions!$C$43:$E$43,0))</f>
        <v>201.05465618440314</v>
      </c>
      <c r="AB12" s="8">
        <f>AB7*Assumptions!$C$19*INDEX(Assumptions!$C$46:$E$46,1,MATCH(Assumptions!$C$5,Assumptions!$C$43:$E$43,0))</f>
        <v>205.07574930809119</v>
      </c>
      <c r="AC12" s="8">
        <f>AC7*Assumptions!$C$19*INDEX(Assumptions!$C$46:$E$46,1,MATCH(Assumptions!$C$5,Assumptions!$C$43:$E$43,0))</f>
        <v>209.17726429425298</v>
      </c>
      <c r="AD12" s="8">
        <f>AD7*Assumptions!$C$19*INDEX(Assumptions!$C$46:$E$46,1,MATCH(Assumptions!$C$5,Assumptions!$C$43:$E$43,0))</f>
        <v>213.36080958013804</v>
      </c>
      <c r="AE12" s="8">
        <f>AE7*Assumptions!$C$19*INDEX(Assumptions!$C$46:$E$46,1,MATCH(Assumptions!$C$5,Assumptions!$C$43:$E$43,0))</f>
        <v>217.62802577174079</v>
      </c>
      <c r="AF12" s="8">
        <f>AF7*Assumptions!$C$19*INDEX(Assumptions!$C$46:$E$46,1,MATCH(Assumptions!$C$5,Assumptions!$C$43:$E$43,0))</f>
        <v>221.98058628717558</v>
      </c>
      <c r="AG12" s="8">
        <f>AG7*Assumptions!$C$19*INDEX(Assumptions!$C$46:$E$46,1,MATCH(Assumptions!$C$5,Assumptions!$C$43:$E$43,0))</f>
        <v>226.42019801291914</v>
      </c>
      <c r="AH12" s="8">
        <f>AH7*Assumptions!$C$19*INDEX(Assumptions!$C$46:$E$46,1,MATCH(Assumptions!$C$5,Assumptions!$C$43:$E$43,0))</f>
        <v>230.94860197317755</v>
      </c>
      <c r="AI12" s="8">
        <f>AI7*Assumptions!$C$19*INDEX(Assumptions!$C$46:$E$46,1,MATCH(Assumptions!$C$5,Assumptions!$C$43:$E$43,0))</f>
        <v>235.5675740126411</v>
      </c>
      <c r="AJ12" s="8">
        <f>AJ7*Assumptions!$C$19*INDEX(Assumptions!$C$46:$E$46,1,MATCH(Assumptions!$C$5,Assumptions!$C$43:$E$43,0))</f>
        <v>240.2789254928939</v>
      </c>
      <c r="AK12" s="8">
        <f>AK7*Assumptions!$C$19*INDEX(Assumptions!$C$46:$E$46,1,MATCH(Assumptions!$C$5,Assumptions!$C$43:$E$43,0))</f>
        <v>245.0845040027518</v>
      </c>
      <c r="AL12" s="8">
        <f>AL7*Assumptions!$C$19*INDEX(Assumptions!$C$46:$E$46,1,MATCH(Assumptions!$C$5,Assumptions!$C$43:$E$43,0))</f>
        <v>249.98619408280683</v>
      </c>
      <c r="AM12" s="8"/>
    </row>
    <row r="13" spans="1:39">
      <c r="A13" s="1"/>
      <c r="B13" s="1" t="s">
        <v>141</v>
      </c>
      <c r="C13" s="16">
        <f>C12*Assumptions!$C$18</f>
        <v>49875</v>
      </c>
      <c r="D13" s="16">
        <f>D12*Assumptions!$C$18</f>
        <v>50872.5</v>
      </c>
      <c r="E13" s="16">
        <f>E12*Assumptions!$C$18</f>
        <v>51889.950000000004</v>
      </c>
      <c r="F13" s="16">
        <f>F12*Assumptions!$C$18</f>
        <v>52927.749000000003</v>
      </c>
      <c r="G13" s="16">
        <f>G12*Assumptions!$C$18</f>
        <v>53986.303980000004</v>
      </c>
      <c r="H13" s="16">
        <f>H12*Assumptions!$C$18</f>
        <v>55066.030059600002</v>
      </c>
      <c r="I13" s="16">
        <f>I12*Assumptions!$C$18</f>
        <v>56167.350660791999</v>
      </c>
      <c r="J13" s="16">
        <f>J12*Assumptions!$C$18</f>
        <v>57290.697674007839</v>
      </c>
      <c r="K13" s="16">
        <f>K12*Assumptions!$C$18</f>
        <v>58436.511627488006</v>
      </c>
      <c r="L13" s="16">
        <f>L12*Assumptions!$C$18</f>
        <v>59605.241860037757</v>
      </c>
      <c r="M13" s="16">
        <f>M12*Assumptions!$C$18</f>
        <v>60797.346697238507</v>
      </c>
      <c r="N13" s="16">
        <f>N12*Assumptions!$C$18</f>
        <v>62013.293631183267</v>
      </c>
      <c r="O13" s="16">
        <f>O12*Assumptions!$C$18</f>
        <v>63253.55950380693</v>
      </c>
      <c r="P13" s="16">
        <f>P12*Assumptions!$C$18</f>
        <v>64518.630693883075</v>
      </c>
      <c r="Q13" s="16">
        <f>Q12*Assumptions!$C$18</f>
        <v>65809.003307760737</v>
      </c>
      <c r="R13" s="16">
        <f>R12*Assumptions!$C$18</f>
        <v>67125.183373915948</v>
      </c>
      <c r="S13" s="16">
        <f>S12*Assumptions!$C$18</f>
        <v>68467.687041394282</v>
      </c>
      <c r="T13" s="16">
        <f>T12*Assumptions!$C$18</f>
        <v>69837.040782222175</v>
      </c>
      <c r="U13" s="16">
        <f>U12*Assumptions!$C$18</f>
        <v>71233.781597866619</v>
      </c>
      <c r="V13" s="16">
        <f>V12*Assumptions!$C$18</f>
        <v>72658.457229823936</v>
      </c>
      <c r="W13" s="16">
        <f>W12*Assumptions!$C$18</f>
        <v>74111.626374420419</v>
      </c>
      <c r="X13" s="16">
        <f>X12*Assumptions!$C$18</f>
        <v>75593.858901908825</v>
      </c>
      <c r="Y13" s="16">
        <f>Y12*Assumptions!$C$18</f>
        <v>77105.736079947004</v>
      </c>
      <c r="Z13" s="16">
        <f>Z12*Assumptions!$C$18</f>
        <v>78647.850801545937</v>
      </c>
      <c r="AA13" s="16">
        <f>AA12*Assumptions!$C$18</f>
        <v>80220.807817576861</v>
      </c>
      <c r="AB13" s="16">
        <f>AB12*Assumptions!$C$18</f>
        <v>81825.223973928383</v>
      </c>
      <c r="AC13" s="16">
        <f>AC12*Assumptions!$C$18</f>
        <v>83461.728453406933</v>
      </c>
      <c r="AD13" s="16">
        <f>AD12*Assumptions!$C$18</f>
        <v>85130.963022475073</v>
      </c>
      <c r="AE13" s="16">
        <f>AE12*Assumptions!$C$18</f>
        <v>86833.582282924574</v>
      </c>
      <c r="AF13" s="16">
        <f>AF12*Assumptions!$C$18</f>
        <v>88570.253928583057</v>
      </c>
      <c r="AG13" s="16">
        <f>AG12*Assumptions!$C$18</f>
        <v>90341.65900715474</v>
      </c>
      <c r="AH13" s="16">
        <f>AH12*Assumptions!$C$18</f>
        <v>92148.492187297845</v>
      </c>
      <c r="AI13" s="16">
        <f>AI12*Assumptions!$C$18</f>
        <v>93991.462031043804</v>
      </c>
      <c r="AJ13" s="16">
        <f>AJ12*Assumptions!$C$18</f>
        <v>95871.291271664668</v>
      </c>
      <c r="AK13" s="16">
        <f>AK12*Assumptions!$C$18</f>
        <v>97788.717097097964</v>
      </c>
      <c r="AL13" s="16">
        <f>AL12*Assumptions!$C$18</f>
        <v>99744.491439039921</v>
      </c>
      <c r="AM13" s="16"/>
    </row>
    <row r="14" spans="1:39">
      <c r="A14" s="1"/>
      <c r="B14" s="1" t="s">
        <v>142</v>
      </c>
      <c r="C14" s="16">
        <f>C7*Assumptions!$C$20</f>
        <v>35000</v>
      </c>
      <c r="D14" s="16">
        <f>D7*Assumptions!$C$20</f>
        <v>35700</v>
      </c>
      <c r="E14" s="16">
        <f>E7*Assumptions!$C$20</f>
        <v>36414</v>
      </c>
      <c r="F14" s="16">
        <f>F7*Assumptions!$C$20</f>
        <v>37142.28</v>
      </c>
      <c r="G14" s="16">
        <f>G7*Assumptions!$C$20</f>
        <v>37885.125599999999</v>
      </c>
      <c r="H14" s="16">
        <f>H7*Assumptions!$C$20</f>
        <v>38642.828111999996</v>
      </c>
      <c r="I14" s="16">
        <f>I7*Assumptions!$C$20</f>
        <v>39415.684674240001</v>
      </c>
      <c r="J14" s="16">
        <f>J7*Assumptions!$C$20</f>
        <v>40203.998367724802</v>
      </c>
      <c r="K14" s="16">
        <f>K7*Assumptions!$C$20</f>
        <v>41008.078335079292</v>
      </c>
      <c r="L14" s="16">
        <f>L7*Assumptions!$C$20</f>
        <v>41828.239901780878</v>
      </c>
      <c r="M14" s="16">
        <f>M7*Assumptions!$C$20</f>
        <v>42664.804699816494</v>
      </c>
      <c r="N14" s="16">
        <f>N7*Assumptions!$C$20</f>
        <v>43518.100793812817</v>
      </c>
      <c r="O14" s="16">
        <f>O7*Assumptions!$C$20</f>
        <v>44388.462809689074</v>
      </c>
      <c r="P14" s="16">
        <f>P7*Assumptions!$C$20</f>
        <v>45276.232065882854</v>
      </c>
      <c r="Q14" s="16">
        <f>Q7*Assumptions!$C$20</f>
        <v>46181.756707200511</v>
      </c>
      <c r="R14" s="16">
        <f>R7*Assumptions!$C$20</f>
        <v>47105.391841344521</v>
      </c>
      <c r="S14" s="16">
        <f>S7*Assumptions!$C$20</f>
        <v>48047.499678171414</v>
      </c>
      <c r="T14" s="16">
        <f>T7*Assumptions!$C$20</f>
        <v>49008.449671734852</v>
      </c>
      <c r="U14" s="16">
        <f>U7*Assumptions!$C$20</f>
        <v>49988.618665169546</v>
      </c>
      <c r="V14" s="16">
        <f>V7*Assumptions!$C$20</f>
        <v>50988.391038472939</v>
      </c>
      <c r="W14" s="16">
        <f>W7*Assumptions!$C$20</f>
        <v>52008.158859242394</v>
      </c>
      <c r="X14" s="16">
        <f>X7*Assumptions!$C$20</f>
        <v>53048.322036427242</v>
      </c>
      <c r="Y14" s="16">
        <f>Y7*Assumptions!$C$20</f>
        <v>54109.288477155787</v>
      </c>
      <c r="Z14" s="16">
        <f>Z7*Assumptions!$C$20</f>
        <v>55191.474246698905</v>
      </c>
      <c r="AA14" s="16">
        <f>AA7*Assumptions!$C$20</f>
        <v>56295.30373163287</v>
      </c>
      <c r="AB14" s="16">
        <f>AB7*Assumptions!$C$20</f>
        <v>57421.209806265535</v>
      </c>
      <c r="AC14" s="16">
        <f>AC7*Assumptions!$C$20</f>
        <v>58569.634002390834</v>
      </c>
      <c r="AD14" s="16">
        <f>AD7*Assumptions!$C$20</f>
        <v>59741.026682438649</v>
      </c>
      <c r="AE14" s="16">
        <f>AE7*Assumptions!$C$20</f>
        <v>60935.847216087423</v>
      </c>
      <c r="AF14" s="16">
        <f>AF7*Assumptions!$C$20</f>
        <v>62154.564160409165</v>
      </c>
      <c r="AG14" s="16">
        <f>AG7*Assumptions!$C$20</f>
        <v>63397.655443617354</v>
      </c>
      <c r="AH14" s="16">
        <f>AH7*Assumptions!$C$20</f>
        <v>64665.608552489706</v>
      </c>
      <c r="AI14" s="16">
        <f>AI7*Assumptions!$C$20</f>
        <v>65958.920723539501</v>
      </c>
      <c r="AJ14" s="16">
        <f>AJ7*Assumptions!$C$20</f>
        <v>67278.099138010293</v>
      </c>
      <c r="AK14" s="16">
        <f>AK7*Assumptions!$C$20</f>
        <v>68623.661120770499</v>
      </c>
      <c r="AL14" s="16">
        <f>AL7*Assumptions!$C$20</f>
        <v>69996.134343185913</v>
      </c>
      <c r="AM14" s="16"/>
    </row>
    <row r="15" spans="1:39">
      <c r="A15" s="1"/>
      <c r="B15" s="1" t="s">
        <v>143</v>
      </c>
      <c r="C15" s="16">
        <f>C7*Assumptions!$C$21</f>
        <v>15000</v>
      </c>
      <c r="D15" s="16">
        <f>D7*Assumptions!$C$21</f>
        <v>15300</v>
      </c>
      <c r="E15" s="16">
        <f>E7*Assumptions!$C$21</f>
        <v>15606</v>
      </c>
      <c r="F15" s="16">
        <f>F7*Assumptions!$C$21</f>
        <v>15918.119999999999</v>
      </c>
      <c r="G15" s="16">
        <f>G7*Assumptions!$C$21</f>
        <v>16236.482399999999</v>
      </c>
      <c r="H15" s="16">
        <f>H7*Assumptions!$C$21</f>
        <v>16561.212047999998</v>
      </c>
      <c r="I15" s="16">
        <f>I7*Assumptions!$C$21</f>
        <v>16892.436288960002</v>
      </c>
      <c r="J15" s="16">
        <f>J7*Assumptions!$C$21</f>
        <v>17230.285014739202</v>
      </c>
      <c r="K15" s="16">
        <f>K7*Assumptions!$C$21</f>
        <v>17574.890715033984</v>
      </c>
      <c r="L15" s="16">
        <f>L7*Assumptions!$C$21</f>
        <v>17926.388529334661</v>
      </c>
      <c r="M15" s="16">
        <f>M7*Assumptions!$C$21</f>
        <v>18284.916299921355</v>
      </c>
      <c r="N15" s="16">
        <f>N7*Assumptions!$C$21</f>
        <v>18650.614625919778</v>
      </c>
      <c r="O15" s="16">
        <f>O7*Assumptions!$C$21</f>
        <v>19023.626918438174</v>
      </c>
      <c r="P15" s="16">
        <f>P7*Assumptions!$C$21</f>
        <v>19404.099456806936</v>
      </c>
      <c r="Q15" s="16">
        <f>Q7*Assumptions!$C$21</f>
        <v>19792.181445943075</v>
      </c>
      <c r="R15" s="16">
        <f>R7*Assumptions!$C$21</f>
        <v>20188.025074861936</v>
      </c>
      <c r="S15" s="16">
        <f>S7*Assumptions!$C$21</f>
        <v>20591.78557635918</v>
      </c>
      <c r="T15" s="16">
        <f>T7*Assumptions!$C$21</f>
        <v>21003.621287886366</v>
      </c>
      <c r="U15" s="16">
        <f>U7*Assumptions!$C$21</f>
        <v>21423.69371364409</v>
      </c>
      <c r="V15" s="16">
        <f>V7*Assumptions!$C$21</f>
        <v>21852.167587916974</v>
      </c>
      <c r="W15" s="16">
        <f>W7*Assumptions!$C$21</f>
        <v>22289.210939675311</v>
      </c>
      <c r="X15" s="16">
        <f>X7*Assumptions!$C$21</f>
        <v>22734.995158468817</v>
      </c>
      <c r="Y15" s="16">
        <f>Y7*Assumptions!$C$21</f>
        <v>23189.695061638195</v>
      </c>
      <c r="Z15" s="16">
        <f>Z7*Assumptions!$C$21</f>
        <v>23653.488962870957</v>
      </c>
      <c r="AA15" s="16">
        <f>AA7*Assumptions!$C$21</f>
        <v>24126.558742128374</v>
      </c>
      <c r="AB15" s="16">
        <f>AB7*Assumptions!$C$21</f>
        <v>24609.089916970945</v>
      </c>
      <c r="AC15" s="16">
        <f>AC7*Assumptions!$C$21</f>
        <v>25101.271715310359</v>
      </c>
      <c r="AD15" s="16">
        <f>AD7*Assumptions!$C$21</f>
        <v>25603.297149616563</v>
      </c>
      <c r="AE15" s="16">
        <f>AE7*Assumptions!$C$21</f>
        <v>26115.363092608895</v>
      </c>
      <c r="AF15" s="16">
        <f>AF7*Assumptions!$C$21</f>
        <v>26637.670354461072</v>
      </c>
      <c r="AG15" s="16">
        <f>AG7*Assumptions!$C$21</f>
        <v>27170.423761550293</v>
      </c>
      <c r="AH15" s="16">
        <f>AH7*Assumptions!$C$21</f>
        <v>27713.832236781302</v>
      </c>
      <c r="AI15" s="16">
        <f>AI7*Assumptions!$C$21</f>
        <v>28268.108881516928</v>
      </c>
      <c r="AJ15" s="16">
        <f>AJ7*Assumptions!$C$21</f>
        <v>28833.471059147269</v>
      </c>
      <c r="AK15" s="16">
        <f>AK7*Assumptions!$C$21</f>
        <v>29410.140480330214</v>
      </c>
      <c r="AL15" s="16">
        <f>AL7*Assumptions!$C$21</f>
        <v>29998.34328993682</v>
      </c>
      <c r="AM15" s="16"/>
    </row>
    <row r="16" spans="1:39">
      <c r="A16" s="1"/>
      <c r="B16" s="1" t="s">
        <v>144</v>
      </c>
      <c r="C16" s="16">
        <f>C7*Assumptions!$C$22</f>
        <v>1000</v>
      </c>
      <c r="D16" s="16">
        <f>D7*Assumptions!$C$22</f>
        <v>1020</v>
      </c>
      <c r="E16" s="16">
        <f>E7*Assumptions!$C$22</f>
        <v>1040.4000000000001</v>
      </c>
      <c r="F16" s="16">
        <f>F7*Assumptions!$C$22</f>
        <v>1061.2080000000001</v>
      </c>
      <c r="G16" s="16">
        <f>G7*Assumptions!$C$22</f>
        <v>1082.4321600000001</v>
      </c>
      <c r="H16" s="16">
        <f>H7*Assumptions!$C$22</f>
        <v>1104.0808032</v>
      </c>
      <c r="I16" s="16">
        <f>I7*Assumptions!$C$22</f>
        <v>1126.1624192639999</v>
      </c>
      <c r="J16" s="16">
        <f>J7*Assumptions!$C$22</f>
        <v>1148.68566764928</v>
      </c>
      <c r="K16" s="16">
        <f>K7*Assumptions!$C$22</f>
        <v>1171.6593810022657</v>
      </c>
      <c r="L16" s="16">
        <f>L7*Assumptions!$C$22</f>
        <v>1195.0925686223109</v>
      </c>
      <c r="M16" s="16">
        <f>M7*Assumptions!$C$22</f>
        <v>1218.994419994757</v>
      </c>
      <c r="N16" s="16">
        <f>N7*Assumptions!$C$22</f>
        <v>1243.374308394652</v>
      </c>
      <c r="O16" s="16">
        <f>O7*Assumptions!$C$22</f>
        <v>1268.241794562545</v>
      </c>
      <c r="P16" s="16">
        <f>P7*Assumptions!$C$22</f>
        <v>1293.606630453796</v>
      </c>
      <c r="Q16" s="16">
        <f>Q7*Assumptions!$C$22</f>
        <v>1319.4787630628718</v>
      </c>
      <c r="R16" s="16">
        <f>R7*Assumptions!$C$22</f>
        <v>1345.8683383241294</v>
      </c>
      <c r="S16" s="16">
        <f>S7*Assumptions!$C$22</f>
        <v>1372.7857050906121</v>
      </c>
      <c r="T16" s="16">
        <f>T7*Assumptions!$C$22</f>
        <v>1400.2414191924245</v>
      </c>
      <c r="U16" s="16">
        <f>U7*Assumptions!$C$22</f>
        <v>1428.2462475762729</v>
      </c>
      <c r="V16" s="16">
        <f>V7*Assumptions!$C$22</f>
        <v>1456.8111725277984</v>
      </c>
      <c r="W16" s="16">
        <f>W7*Assumptions!$C$22</f>
        <v>1485.9473959783543</v>
      </c>
      <c r="X16" s="16">
        <f>X7*Assumptions!$C$22</f>
        <v>1515.6663438979213</v>
      </c>
      <c r="Y16" s="16">
        <f>Y7*Assumptions!$C$22</f>
        <v>1545.9796707758796</v>
      </c>
      <c r="Z16" s="16">
        <f>Z7*Assumptions!$C$22</f>
        <v>1576.8992641913974</v>
      </c>
      <c r="AA16" s="16">
        <f>AA7*Assumptions!$C$22</f>
        <v>1608.4372494752251</v>
      </c>
      <c r="AB16" s="16">
        <f>AB7*Assumptions!$C$22</f>
        <v>1640.6059944647295</v>
      </c>
      <c r="AC16" s="16">
        <f>AC7*Assumptions!$C$22</f>
        <v>1673.4181143540238</v>
      </c>
      <c r="AD16" s="16">
        <f>AD7*Assumptions!$C$22</f>
        <v>1706.8864766411043</v>
      </c>
      <c r="AE16" s="16">
        <f>AE7*Assumptions!$C$22</f>
        <v>1741.0242061739264</v>
      </c>
      <c r="AF16" s="16">
        <f>AF7*Assumptions!$C$22</f>
        <v>1775.8446902974047</v>
      </c>
      <c r="AG16" s="16">
        <f>AG7*Assumptions!$C$22</f>
        <v>1811.3615841033532</v>
      </c>
      <c r="AH16" s="16">
        <f>AH7*Assumptions!$C$22</f>
        <v>1847.5888157854204</v>
      </c>
      <c r="AI16" s="16">
        <f>AI7*Assumptions!$C$22</f>
        <v>1884.5405921011288</v>
      </c>
      <c r="AJ16" s="16">
        <f>AJ7*Assumptions!$C$22</f>
        <v>1922.2314039431512</v>
      </c>
      <c r="AK16" s="16">
        <f>AK7*Assumptions!$C$22</f>
        <v>1960.6760320220144</v>
      </c>
      <c r="AL16" s="16">
        <f>AL7*Assumptions!$C$22</f>
        <v>1999.8895526624547</v>
      </c>
      <c r="AM16" s="16"/>
    </row>
    <row r="17" spans="1:39">
      <c r="A17" s="1"/>
      <c r="B17" s="1" t="s">
        <v>145</v>
      </c>
      <c r="C17" s="16">
        <f>C16*Assumptions!$C$24*Assumptions!$C$23</f>
        <v>39800</v>
      </c>
      <c r="D17" s="16">
        <f>D16*Assumptions!$C$24*Assumptions!$C$23</f>
        <v>40596</v>
      </c>
      <c r="E17" s="16">
        <f>E16*Assumptions!$C$24*Assumptions!$C$23</f>
        <v>41407.920000000006</v>
      </c>
      <c r="F17" s="16">
        <f>F16*Assumptions!$C$24*Assumptions!$C$23</f>
        <v>42236.078400000006</v>
      </c>
      <c r="G17" s="16">
        <f>G16*Assumptions!$C$24*Assumptions!$C$23</f>
        <v>43080.799968000007</v>
      </c>
      <c r="H17" s="16">
        <f>H16*Assumptions!$C$24*Assumptions!$C$23</f>
        <v>43942.415967360001</v>
      </c>
      <c r="I17" s="16">
        <f>I16*Assumptions!$C$24*Assumptions!$C$23</f>
        <v>44821.264286707199</v>
      </c>
      <c r="J17" s="16">
        <f>J16*Assumptions!$C$24*Assumptions!$C$23</f>
        <v>45717.689572441348</v>
      </c>
      <c r="K17" s="16">
        <f>K16*Assumptions!$C$24*Assumptions!$C$23</f>
        <v>46632.043363890181</v>
      </c>
      <c r="L17" s="16">
        <f>L16*Assumptions!$C$24*Assumptions!$C$23</f>
        <v>47564.684231167979</v>
      </c>
      <c r="M17" s="16">
        <f>M16*Assumptions!$C$24*Assumptions!$C$23</f>
        <v>48515.977915791329</v>
      </c>
      <c r="N17" s="16">
        <f>N16*Assumptions!$C$24*Assumptions!$C$23</f>
        <v>49486.297474107152</v>
      </c>
      <c r="O17" s="16">
        <f>O16*Assumptions!$C$24*Assumptions!$C$23</f>
        <v>50476.023423589293</v>
      </c>
      <c r="P17" s="16">
        <f>P16*Assumptions!$C$24*Assumptions!$C$23</f>
        <v>51485.543892061076</v>
      </c>
      <c r="Q17" s="16">
        <f>Q16*Assumptions!$C$24*Assumptions!$C$23</f>
        <v>52515.254769902298</v>
      </c>
      <c r="R17" s="16">
        <f>R16*Assumptions!$C$24*Assumptions!$C$23</f>
        <v>53565.559865300347</v>
      </c>
      <c r="S17" s="16">
        <f>S16*Assumptions!$C$24*Assumptions!$C$23</f>
        <v>54636.871062606362</v>
      </c>
      <c r="T17" s="16">
        <f>T16*Assumptions!$C$24*Assumptions!$C$23</f>
        <v>55729.608483858494</v>
      </c>
      <c r="U17" s="16">
        <f>U16*Assumptions!$C$24*Assumptions!$C$23</f>
        <v>56844.20065353567</v>
      </c>
      <c r="V17" s="16">
        <f>V16*Assumptions!$C$24*Assumptions!$C$23</f>
        <v>57981.084666606374</v>
      </c>
      <c r="W17" s="16">
        <f>W16*Assumptions!$C$24*Assumptions!$C$23</f>
        <v>59140.7063599385</v>
      </c>
      <c r="X17" s="16">
        <f>X16*Assumptions!$C$24*Assumptions!$C$23</f>
        <v>60323.52048713727</v>
      </c>
      <c r="Y17" s="16">
        <f>Y16*Assumptions!$C$24*Assumptions!$C$23</f>
        <v>61529.990896880015</v>
      </c>
      <c r="Z17" s="16">
        <f>Z16*Assumptions!$C$24*Assumptions!$C$23</f>
        <v>62760.590714817619</v>
      </c>
      <c r="AA17" s="16">
        <f>AA16*Assumptions!$C$24*Assumptions!$C$23</f>
        <v>64015.802529113971</v>
      </c>
      <c r="AB17" s="16">
        <f>AB16*Assumptions!$C$24*Assumptions!$C$23</f>
        <v>65296.118579696238</v>
      </c>
      <c r="AC17" s="16">
        <f>AC16*Assumptions!$C$24*Assumptions!$C$23</f>
        <v>66602.040951290153</v>
      </c>
      <c r="AD17" s="16">
        <f>AD16*Assumptions!$C$24*Assumptions!$C$23</f>
        <v>67934.081770315956</v>
      </c>
      <c r="AE17" s="16">
        <f>AE16*Assumptions!$C$24*Assumptions!$C$23</f>
        <v>69292.763405722275</v>
      </c>
      <c r="AF17" s="16">
        <f>AF16*Assumptions!$C$24*Assumptions!$C$23</f>
        <v>70678.618673836711</v>
      </c>
      <c r="AG17" s="16">
        <f>AG16*Assumptions!$C$24*Assumptions!$C$23</f>
        <v>72092.191047313463</v>
      </c>
      <c r="AH17" s="16">
        <f>AH16*Assumptions!$C$24*Assumptions!$C$23</f>
        <v>73534.03486825974</v>
      </c>
      <c r="AI17" s="16">
        <f>AI16*Assumptions!$C$24*Assumptions!$C$23</f>
        <v>75004.715565624923</v>
      </c>
      <c r="AJ17" s="16">
        <f>AJ16*Assumptions!$C$24*Assumptions!$C$23</f>
        <v>76504.809876937419</v>
      </c>
      <c r="AK17" s="16">
        <f>AK16*Assumptions!$C$24*Assumptions!$C$23</f>
        <v>78034.906074476166</v>
      </c>
      <c r="AL17" s="16">
        <f>AL16*Assumptions!$C$24*Assumptions!$C$23</f>
        <v>79595.604195965701</v>
      </c>
      <c r="AM17" s="16"/>
    </row>
    <row r="18" spans="1:39">
      <c r="A18" s="1"/>
      <c r="B18" s="1" t="s">
        <v>146</v>
      </c>
      <c r="C18" s="16">
        <f>IF(1&gt;=Assumptions!$C$25,C16*Assumptions!$C$27*Assumptions!$C$26,0)</f>
        <v>0</v>
      </c>
      <c r="D18" s="16">
        <f>IF(2&gt;=Assumptions!$C$25,D16*Assumptions!$C$27*Assumptions!$C$26,0)</f>
        <v>0</v>
      </c>
      <c r="E18" s="16">
        <f>IF(3&gt;=Assumptions!$C$25,E16*Assumptions!$C$27*Assumptions!$C$26,0)</f>
        <v>0</v>
      </c>
      <c r="F18" s="16">
        <f>IF(4&gt;=Assumptions!$C$25,F16*Assumptions!$C$27*Assumptions!$C$26,0)</f>
        <v>0</v>
      </c>
      <c r="G18" s="16">
        <f>IF(5&gt;=Assumptions!$C$25,G16*Assumptions!$C$27*Assumptions!$C$26,0)</f>
        <v>0</v>
      </c>
      <c r="H18" s="16">
        <f>IF(6&gt;=Assumptions!$C$25,H16*Assumptions!$C$27*Assumptions!$C$26,0)</f>
        <v>0</v>
      </c>
      <c r="I18" s="16">
        <f>IF(7&gt;=Assumptions!$C$25,I16*Assumptions!$C$27*Assumptions!$C$26,0)</f>
        <v>0</v>
      </c>
      <c r="J18" s="16">
        <f>IF(8&gt;=Assumptions!$C$25,J16*Assumptions!$C$27*Assumptions!$C$26,0)</f>
        <v>0</v>
      </c>
      <c r="K18" s="16">
        <f>IF(9&gt;=Assumptions!$C$25,K16*Assumptions!$C$27*Assumptions!$C$26,0)</f>
        <v>0</v>
      </c>
      <c r="L18" s="16">
        <f>IF(10&gt;=Assumptions!$C$25,L16*Assumptions!$C$27*Assumptions!$C$26,0)</f>
        <v>0</v>
      </c>
      <c r="M18" s="16">
        <f>IF(11&gt;=Assumptions!$C$25,M16*Assumptions!$C$27*Assumptions!$C$26,0)</f>
        <v>0</v>
      </c>
      <c r="N18" s="16">
        <f>IF(12&gt;=Assumptions!$C$25,N16*Assumptions!$C$27*Assumptions!$C$26,0)</f>
        <v>0</v>
      </c>
      <c r="O18" s="16">
        <f>IF(13&gt;=Assumptions!$C$25,O16*Assumptions!$C$27*Assumptions!$C$26,0)</f>
        <v>0</v>
      </c>
      <c r="P18" s="16">
        <f>IF(14&gt;=Assumptions!$C$25,P16*Assumptions!$C$27*Assumptions!$C$26,0)</f>
        <v>0</v>
      </c>
      <c r="Q18" s="16">
        <f>IF(15&gt;=Assumptions!$C$25,Q16*Assumptions!$C$27*Assumptions!$C$26,0)</f>
        <v>0</v>
      </c>
      <c r="R18" s="16">
        <f>IF(16&gt;=Assumptions!$C$25,R16*Assumptions!$C$27*Assumptions!$C$26,0)</f>
        <v>0</v>
      </c>
      <c r="S18" s="16">
        <f>IF(17&gt;=Assumptions!$C$25,S16*Assumptions!$C$27*Assumptions!$C$26,0)</f>
        <v>0</v>
      </c>
      <c r="T18" s="16">
        <f>IF(18&gt;=Assumptions!$C$25,T16*Assumptions!$C$27*Assumptions!$C$26,0)</f>
        <v>0</v>
      </c>
      <c r="U18" s="16">
        <f>IF(19&gt;=Assumptions!$C$25,U16*Assumptions!$C$27*Assumptions!$C$26,0)</f>
        <v>0</v>
      </c>
      <c r="V18" s="16">
        <f>IF(20&gt;=Assumptions!$C$25,V16*Assumptions!$C$27*Assumptions!$C$26,0)</f>
        <v>0</v>
      </c>
      <c r="W18" s="16">
        <f>IF(21&gt;=Assumptions!$C$25,W16*Assumptions!$C$27*Assumptions!$C$26,0)</f>
        <v>0</v>
      </c>
      <c r="X18" s="16">
        <f>IF(22&gt;=Assumptions!$C$25,X16*Assumptions!$C$27*Assumptions!$C$26,0)</f>
        <v>0</v>
      </c>
      <c r="Y18" s="16">
        <f>IF(23&gt;=Assumptions!$C$25,Y16*Assumptions!$C$27*Assumptions!$C$26,0)</f>
        <v>0</v>
      </c>
      <c r="Z18" s="16">
        <f>IF(24&gt;=Assumptions!$C$25,Z16*Assumptions!$C$27*Assumptions!$C$26,0)</f>
        <v>0</v>
      </c>
      <c r="AA18" s="16">
        <f>IF(25&gt;=Assumptions!$C$25,AA16*Assumptions!$C$27*Assumptions!$C$26,0)</f>
        <v>38473.81900744739</v>
      </c>
      <c r="AB18" s="16">
        <f>IF(26&gt;=Assumptions!$C$25,AB16*Assumptions!$C$27*Assumptions!$C$26,0)</f>
        <v>39243.295387596336</v>
      </c>
      <c r="AC18" s="16">
        <f>IF(27&gt;=Assumptions!$C$25,AC16*Assumptions!$C$27*Assumptions!$C$26,0)</f>
        <v>40028.161295348247</v>
      </c>
      <c r="AD18" s="16">
        <f>IF(28&gt;=Assumptions!$C$25,AD16*Assumptions!$C$27*Assumptions!$C$26,0)</f>
        <v>40828.724521255215</v>
      </c>
      <c r="AE18" s="16">
        <f>IF(29&gt;=Assumptions!$C$25,AE16*Assumptions!$C$27*Assumptions!$C$26,0)</f>
        <v>41645.299011680319</v>
      </c>
      <c r="AF18" s="16">
        <f>IF(30&gt;=Assumptions!$C$25,AF16*Assumptions!$C$27*Assumptions!$C$26,0)</f>
        <v>42478.204991913917</v>
      </c>
      <c r="AG18" s="16">
        <f>IF(31&gt;=Assumptions!$C$25,AG16*Assumptions!$C$27*Assumptions!$C$26,0)</f>
        <v>43327.769091752205</v>
      </c>
      <c r="AH18" s="16">
        <f>IF(32&gt;=Assumptions!$C$25,AH16*Assumptions!$C$27*Assumptions!$C$26,0)</f>
        <v>44194.324473587258</v>
      </c>
      <c r="AI18" s="16">
        <f>IF(33&gt;=Assumptions!$C$25,AI16*Assumptions!$C$27*Assumptions!$C$26,0)</f>
        <v>45078.210963058998</v>
      </c>
      <c r="AJ18" s="16">
        <f>IF(34&gt;=Assumptions!$C$25,AJ16*Assumptions!$C$27*Assumptions!$C$26,0)</f>
        <v>45979.775182320176</v>
      </c>
      <c r="AK18" s="16">
        <f>IF(35&gt;=Assumptions!$C$25,AK16*Assumptions!$C$27*Assumptions!$C$26,0)</f>
        <v>46899.370685966584</v>
      </c>
      <c r="AL18" s="16">
        <f>IF(36&gt;=Assumptions!$C$25,AL16*Assumptions!$C$27*Assumptions!$C$26,0)</f>
        <v>47837.358099685916</v>
      </c>
      <c r="AM18" s="16"/>
    </row>
    <row r="19" spans="1:39" ht="15">
      <c r="A19" s="1"/>
      <c r="B19" s="9" t="s">
        <v>147</v>
      </c>
      <c r="C19" s="17">
        <f t="shared" ref="C19:AL19" si="1">SUM(C11,C13:C15,C17:C18)</f>
        <v>514675</v>
      </c>
      <c r="D19" s="17">
        <f t="shared" si="1"/>
        <v>524968.5</v>
      </c>
      <c r="E19" s="17">
        <f t="shared" si="1"/>
        <v>535467.87</v>
      </c>
      <c r="F19" s="17">
        <f t="shared" si="1"/>
        <v>546177.22739999997</v>
      </c>
      <c r="G19" s="17">
        <f t="shared" si="1"/>
        <v>557100.77194799995</v>
      </c>
      <c r="H19" s="17">
        <f t="shared" si="1"/>
        <v>568242.78738696</v>
      </c>
      <c r="I19" s="17">
        <f t="shared" si="1"/>
        <v>579607.6431346992</v>
      </c>
      <c r="J19" s="17">
        <f t="shared" si="1"/>
        <v>591199.79599739332</v>
      </c>
      <c r="K19" s="17">
        <f t="shared" si="1"/>
        <v>603023.79191734095</v>
      </c>
      <c r="L19" s="17">
        <f t="shared" si="1"/>
        <v>615084.26775568794</v>
      </c>
      <c r="M19" s="17">
        <f t="shared" si="1"/>
        <v>627385.95311080152</v>
      </c>
      <c r="N19" s="17">
        <f t="shared" si="1"/>
        <v>639933.6721730174</v>
      </c>
      <c r="O19" s="17">
        <f t="shared" si="1"/>
        <v>652732.34561647777</v>
      </c>
      <c r="P19" s="17">
        <f t="shared" si="1"/>
        <v>665786.99252880737</v>
      </c>
      <c r="Q19" s="17">
        <f t="shared" si="1"/>
        <v>679102.73237938352</v>
      </c>
      <c r="R19" s="17">
        <f t="shared" si="1"/>
        <v>692684.78702697123</v>
      </c>
      <c r="S19" s="17">
        <f t="shared" si="1"/>
        <v>706538.48276751069</v>
      </c>
      <c r="T19" s="17">
        <f t="shared" si="1"/>
        <v>720669.25242286106</v>
      </c>
      <c r="U19" s="17">
        <f t="shared" si="1"/>
        <v>735082.63747131824</v>
      </c>
      <c r="V19" s="17">
        <f t="shared" si="1"/>
        <v>749784.29022074444</v>
      </c>
      <c r="W19" s="17">
        <f t="shared" si="1"/>
        <v>764779.97602515947</v>
      </c>
      <c r="X19" s="17">
        <f t="shared" si="1"/>
        <v>780075.57554566266</v>
      </c>
      <c r="Y19" s="17">
        <f t="shared" si="1"/>
        <v>795677.08705657593</v>
      </c>
      <c r="Z19" s="17">
        <f t="shared" si="1"/>
        <v>811590.62879770726</v>
      </c>
      <c r="AA19" s="17">
        <f t="shared" si="1"/>
        <v>866296.26038110873</v>
      </c>
      <c r="AB19" s="17">
        <f t="shared" si="1"/>
        <v>883622.18558873108</v>
      </c>
      <c r="AC19" s="17">
        <f t="shared" si="1"/>
        <v>901294.62930050539</v>
      </c>
      <c r="AD19" s="17">
        <f t="shared" si="1"/>
        <v>919320.52188651566</v>
      </c>
      <c r="AE19" s="17">
        <f t="shared" si="1"/>
        <v>937706.9323242458</v>
      </c>
      <c r="AF19" s="17">
        <f t="shared" si="1"/>
        <v>956461.07097073051</v>
      </c>
      <c r="AG19" s="17">
        <f t="shared" si="1"/>
        <v>975590.29239014559</v>
      </c>
      <c r="AH19" s="17">
        <f t="shared" si="1"/>
        <v>995102.09823794838</v>
      </c>
      <c r="AI19" s="17">
        <f t="shared" si="1"/>
        <v>1015004.1402027074</v>
      </c>
      <c r="AJ19" s="17">
        <f t="shared" si="1"/>
        <v>1035304.2230067615</v>
      </c>
      <c r="AK19" s="17">
        <f t="shared" si="1"/>
        <v>1056010.3074668969</v>
      </c>
      <c r="AL19" s="17">
        <f t="shared" si="1"/>
        <v>1077130.5136162348</v>
      </c>
      <c r="AM19" s="17"/>
    </row>
    <row r="20" spans="1:39">
      <c r="A20" s="1"/>
      <c r="B20" s="1" t="s">
        <v>148</v>
      </c>
      <c r="C20" s="16">
        <f>C10*Assumptions!$C$39</f>
        <v>56250</v>
      </c>
      <c r="D20" s="16">
        <f>D10*Assumptions!$C$39</f>
        <v>57375</v>
      </c>
      <c r="E20" s="16">
        <f>E10*Assumptions!$C$39</f>
        <v>58522.5</v>
      </c>
      <c r="F20" s="16">
        <f>F10*Assumptions!$C$39</f>
        <v>59692.95</v>
      </c>
      <c r="G20" s="16">
        <f>G10*Assumptions!$C$39</f>
        <v>60886.808999999994</v>
      </c>
      <c r="H20" s="16">
        <f>H10*Assumptions!$C$39</f>
        <v>62104.545179999994</v>
      </c>
      <c r="I20" s="16">
        <f>I10*Assumptions!$C$39</f>
        <v>63346.636083600002</v>
      </c>
      <c r="J20" s="16">
        <f>J10*Assumptions!$C$39</f>
        <v>64613.568805272</v>
      </c>
      <c r="K20" s="16">
        <f>K10*Assumptions!$C$39</f>
        <v>65905.84018137744</v>
      </c>
      <c r="L20" s="16">
        <f>L10*Assumptions!$C$39</f>
        <v>67223.956985004988</v>
      </c>
      <c r="M20" s="16">
        <f>M10*Assumptions!$C$39</f>
        <v>68568.436124705069</v>
      </c>
      <c r="N20" s="16">
        <f>N10*Assumptions!$C$39</f>
        <v>69939.804847199179</v>
      </c>
      <c r="O20" s="16">
        <f>O10*Assumptions!$C$39</f>
        <v>71338.600944143152</v>
      </c>
      <c r="P20" s="16">
        <f>P10*Assumptions!$C$39</f>
        <v>72765.372963026006</v>
      </c>
      <c r="Q20" s="16">
        <f>Q10*Assumptions!$C$39</f>
        <v>74220.680422286532</v>
      </c>
      <c r="R20" s="16">
        <f>R10*Assumptions!$C$39</f>
        <v>75705.09403073226</v>
      </c>
      <c r="S20" s="16">
        <f>S10*Assumptions!$C$39</f>
        <v>77219.19591134692</v>
      </c>
      <c r="T20" s="16">
        <f>T10*Assumptions!$C$39</f>
        <v>78763.579829573864</v>
      </c>
      <c r="U20" s="16">
        <f>U10*Assumptions!$C$39</f>
        <v>80338.851426165347</v>
      </c>
      <c r="V20" s="16">
        <f>V10*Assumptions!$C$39</f>
        <v>81945.62845468866</v>
      </c>
      <c r="W20" s="16">
        <f>W10*Assumptions!$C$39</f>
        <v>83584.541023782425</v>
      </c>
      <c r="X20" s="16">
        <f>X10*Assumptions!$C$39</f>
        <v>85256.231844258073</v>
      </c>
      <c r="Y20" s="16">
        <f>Y10*Assumptions!$C$39</f>
        <v>86961.35648114323</v>
      </c>
      <c r="Z20" s="16">
        <f>Z10*Assumptions!$C$39</f>
        <v>88700.583610766087</v>
      </c>
      <c r="AA20" s="16">
        <f>AA10*Assumptions!$C$39</f>
        <v>90474.59528298139</v>
      </c>
      <c r="AB20" s="16">
        <f>AB10*Assumptions!$C$39</f>
        <v>92284.087188641031</v>
      </c>
      <c r="AC20" s="16">
        <f>AC10*Assumptions!$C$39</f>
        <v>94129.768932413834</v>
      </c>
      <c r="AD20" s="16">
        <f>AD10*Assumptions!$C$39</f>
        <v>96012.36431106212</v>
      </c>
      <c r="AE20" s="16">
        <f>AE10*Assumptions!$C$39</f>
        <v>97932.611597283365</v>
      </c>
      <c r="AF20" s="16">
        <f>AF10*Assumptions!$C$39</f>
        <v>99891.263829229007</v>
      </c>
      <c r="AG20" s="16">
        <f>AG10*Assumptions!$C$39</f>
        <v>101889.0891058136</v>
      </c>
      <c r="AH20" s="16">
        <f>AH10*Assumptions!$C$39</f>
        <v>103926.87088792989</v>
      </c>
      <c r="AI20" s="16">
        <f>AI10*Assumptions!$C$39</f>
        <v>106005.40830568848</v>
      </c>
      <c r="AJ20" s="16">
        <f>AJ10*Assumptions!$C$39</f>
        <v>108125.51647180226</v>
      </c>
      <c r="AK20" s="16">
        <f>AK10*Assumptions!$C$39</f>
        <v>110288.0268012383</v>
      </c>
      <c r="AL20" s="16">
        <f>AL10*Assumptions!$C$39</f>
        <v>112493.78733726307</v>
      </c>
      <c r="AM20" s="16"/>
    </row>
    <row r="21" spans="1:39">
      <c r="A21" s="1"/>
      <c r="B21" s="1" t="s">
        <v>149</v>
      </c>
      <c r="C21" s="16">
        <f t="shared" ref="C21:AL21" si="2">C19-C20</f>
        <v>458425</v>
      </c>
      <c r="D21" s="16">
        <f t="shared" si="2"/>
        <v>467593.5</v>
      </c>
      <c r="E21" s="16">
        <f t="shared" si="2"/>
        <v>476945.37</v>
      </c>
      <c r="F21" s="16">
        <f t="shared" si="2"/>
        <v>486484.27739999996</v>
      </c>
      <c r="G21" s="16">
        <f t="shared" si="2"/>
        <v>496213.96294799994</v>
      </c>
      <c r="H21" s="16">
        <f t="shared" si="2"/>
        <v>506138.24220695999</v>
      </c>
      <c r="I21" s="16">
        <f t="shared" si="2"/>
        <v>516261.00705109921</v>
      </c>
      <c r="J21" s="16">
        <f t="shared" si="2"/>
        <v>526586.22719212133</v>
      </c>
      <c r="K21" s="16">
        <f t="shared" si="2"/>
        <v>537117.95173596346</v>
      </c>
      <c r="L21" s="16">
        <f t="shared" si="2"/>
        <v>547860.31077068299</v>
      </c>
      <c r="M21" s="16">
        <f t="shared" si="2"/>
        <v>558817.51698609651</v>
      </c>
      <c r="N21" s="16">
        <f t="shared" si="2"/>
        <v>569993.86732581817</v>
      </c>
      <c r="O21" s="16">
        <f t="shared" si="2"/>
        <v>581393.74467233464</v>
      </c>
      <c r="P21" s="16">
        <f t="shared" si="2"/>
        <v>593021.61956578132</v>
      </c>
      <c r="Q21" s="16">
        <f t="shared" si="2"/>
        <v>604882.05195709702</v>
      </c>
      <c r="R21" s="16">
        <f t="shared" si="2"/>
        <v>616979.69299623894</v>
      </c>
      <c r="S21" s="16">
        <f t="shared" si="2"/>
        <v>629319.28685616376</v>
      </c>
      <c r="T21" s="16">
        <f t="shared" si="2"/>
        <v>641905.67259328719</v>
      </c>
      <c r="U21" s="16">
        <f t="shared" si="2"/>
        <v>654743.78604515293</v>
      </c>
      <c r="V21" s="16">
        <f t="shared" si="2"/>
        <v>667838.66176605574</v>
      </c>
      <c r="W21" s="16">
        <f t="shared" si="2"/>
        <v>681195.43500137702</v>
      </c>
      <c r="X21" s="16">
        <f t="shared" si="2"/>
        <v>694819.34370140464</v>
      </c>
      <c r="Y21" s="16">
        <f t="shared" si="2"/>
        <v>708715.73057543265</v>
      </c>
      <c r="Z21" s="16">
        <f t="shared" si="2"/>
        <v>722890.04518694116</v>
      </c>
      <c r="AA21" s="16">
        <f t="shared" si="2"/>
        <v>775821.66509812733</v>
      </c>
      <c r="AB21" s="16">
        <f t="shared" si="2"/>
        <v>791338.09840009001</v>
      </c>
      <c r="AC21" s="16">
        <f t="shared" si="2"/>
        <v>807164.86036809161</v>
      </c>
      <c r="AD21" s="16">
        <f t="shared" si="2"/>
        <v>823308.15757545352</v>
      </c>
      <c r="AE21" s="16">
        <f t="shared" si="2"/>
        <v>839774.32072696241</v>
      </c>
      <c r="AF21" s="16">
        <f t="shared" si="2"/>
        <v>856569.80714150146</v>
      </c>
      <c r="AG21" s="16">
        <f t="shared" si="2"/>
        <v>873701.20328433195</v>
      </c>
      <c r="AH21" s="16">
        <f t="shared" si="2"/>
        <v>891175.22735001845</v>
      </c>
      <c r="AI21" s="16">
        <f t="shared" si="2"/>
        <v>908998.73189701885</v>
      </c>
      <c r="AJ21" s="16">
        <f t="shared" si="2"/>
        <v>927178.70653495926</v>
      </c>
      <c r="AK21" s="16">
        <f t="shared" si="2"/>
        <v>945722.28066565865</v>
      </c>
      <c r="AL21" s="16">
        <f t="shared" si="2"/>
        <v>964636.72627897165</v>
      </c>
      <c r="AM21" s="16"/>
    </row>
    <row r="22" spans="1:39">
      <c r="A22" s="1"/>
      <c r="B22" s="1" t="s">
        <v>150</v>
      </c>
      <c r="C22" s="16">
        <f>SUM(Assumptions!$C$33:'Assumptions'!$C$38)*INDEX(Assumptions!$C$48:$E$48,1,MATCH(Assumptions!$C$5,Assumptions!$C$43:$E$43,0))</f>
        <v>345000</v>
      </c>
      <c r="D22" s="16">
        <f>SUM(Assumptions!$C$33:'Assumptions'!$C$38)*INDEX(Assumptions!$C$48:$E$48,1,MATCH(Assumptions!$C$5,Assumptions!$C$43:$E$43,0))</f>
        <v>345000</v>
      </c>
      <c r="E22" s="16">
        <f>SUM(Assumptions!$C$33:'Assumptions'!$C$38)*INDEX(Assumptions!$C$48:$E$48,1,MATCH(Assumptions!$C$5,Assumptions!$C$43:$E$43,0))</f>
        <v>345000</v>
      </c>
      <c r="F22" s="16">
        <f>SUM(Assumptions!$C$33:'Assumptions'!$C$38)*INDEX(Assumptions!$C$48:$E$48,1,MATCH(Assumptions!$C$5,Assumptions!$C$43:$E$43,0))</f>
        <v>345000</v>
      </c>
      <c r="G22" s="16">
        <f>SUM(Assumptions!$C$33:'Assumptions'!$C$38)*INDEX(Assumptions!$C$48:$E$48,1,MATCH(Assumptions!$C$5,Assumptions!$C$43:$E$43,0))</f>
        <v>345000</v>
      </c>
      <c r="H22" s="16">
        <f>SUM(Assumptions!$C$33:'Assumptions'!$C$38)*INDEX(Assumptions!$C$48:$E$48,1,MATCH(Assumptions!$C$5,Assumptions!$C$43:$E$43,0))</f>
        <v>345000</v>
      </c>
      <c r="I22" s="16">
        <f>SUM(Assumptions!$C$33:'Assumptions'!$C$38)*INDEX(Assumptions!$C$48:$E$48,1,MATCH(Assumptions!$C$5,Assumptions!$C$43:$E$43,0))</f>
        <v>345000</v>
      </c>
      <c r="J22" s="16">
        <f>SUM(Assumptions!$C$33:'Assumptions'!$C$38)*INDEX(Assumptions!$C$48:$E$48,1,MATCH(Assumptions!$C$5,Assumptions!$C$43:$E$43,0))</f>
        <v>345000</v>
      </c>
      <c r="K22" s="16">
        <f>SUM(Assumptions!$C$33:'Assumptions'!$C$38)*INDEX(Assumptions!$C$48:$E$48,1,MATCH(Assumptions!$C$5,Assumptions!$C$43:$E$43,0))</f>
        <v>345000</v>
      </c>
      <c r="L22" s="16">
        <f>SUM(Assumptions!$C$33:'Assumptions'!$C$38)*INDEX(Assumptions!$C$48:$E$48,1,MATCH(Assumptions!$C$5,Assumptions!$C$43:$E$43,0))</f>
        <v>345000</v>
      </c>
      <c r="M22" s="16">
        <f>SUM(Assumptions!$C$33:'Assumptions'!$C$38)*INDEX(Assumptions!$C$48:$E$48,1,MATCH(Assumptions!$C$5,Assumptions!$C$43:$E$43,0))</f>
        <v>345000</v>
      </c>
      <c r="N22" s="16">
        <f>SUM(Assumptions!$C$33:'Assumptions'!$C$38)*INDEX(Assumptions!$C$48:$E$48,1,MATCH(Assumptions!$C$5,Assumptions!$C$43:$E$43,0))</f>
        <v>345000</v>
      </c>
      <c r="O22" s="16">
        <f>SUM(Assumptions!$C$33:'Assumptions'!$C$38)*INDEX(Assumptions!$C$48:$E$48,1,MATCH(Assumptions!$C$5,Assumptions!$C$43:$E$43,0))</f>
        <v>345000</v>
      </c>
      <c r="P22" s="16">
        <f>SUM(Assumptions!$C$33:'Assumptions'!$C$38)*INDEX(Assumptions!$C$48:$E$48,1,MATCH(Assumptions!$C$5,Assumptions!$C$43:$E$43,0))</f>
        <v>345000</v>
      </c>
      <c r="Q22" s="16">
        <f>SUM(Assumptions!$C$33:'Assumptions'!$C$38)*INDEX(Assumptions!$C$48:$E$48,1,MATCH(Assumptions!$C$5,Assumptions!$C$43:$E$43,0))</f>
        <v>345000</v>
      </c>
      <c r="R22" s="16">
        <f>SUM(Assumptions!$C$33:'Assumptions'!$C$38)*INDEX(Assumptions!$C$48:$E$48,1,MATCH(Assumptions!$C$5,Assumptions!$C$43:$E$43,0))</f>
        <v>345000</v>
      </c>
      <c r="S22" s="16">
        <f>SUM(Assumptions!$C$33:'Assumptions'!$C$38)*INDEX(Assumptions!$C$48:$E$48,1,MATCH(Assumptions!$C$5,Assumptions!$C$43:$E$43,0))</f>
        <v>345000</v>
      </c>
      <c r="T22" s="16">
        <f>SUM(Assumptions!$C$33:'Assumptions'!$C$38)*INDEX(Assumptions!$C$48:$E$48,1,MATCH(Assumptions!$C$5,Assumptions!$C$43:$E$43,0))</f>
        <v>345000</v>
      </c>
      <c r="U22" s="16">
        <f>SUM(Assumptions!$C$33:'Assumptions'!$C$38)*INDEX(Assumptions!$C$48:$E$48,1,MATCH(Assumptions!$C$5,Assumptions!$C$43:$E$43,0))</f>
        <v>345000</v>
      </c>
      <c r="V22" s="16">
        <f>SUM(Assumptions!$C$33:'Assumptions'!$C$38)*INDEX(Assumptions!$C$48:$E$48,1,MATCH(Assumptions!$C$5,Assumptions!$C$43:$E$43,0))</f>
        <v>345000</v>
      </c>
      <c r="W22" s="16">
        <f>SUM(Assumptions!$C$33:'Assumptions'!$C$38)*INDEX(Assumptions!$C$48:$E$48,1,MATCH(Assumptions!$C$5,Assumptions!$C$43:$E$43,0))</f>
        <v>345000</v>
      </c>
      <c r="X22" s="16">
        <f>SUM(Assumptions!$C$33:'Assumptions'!$C$38)*INDEX(Assumptions!$C$48:$E$48,1,MATCH(Assumptions!$C$5,Assumptions!$C$43:$E$43,0))</f>
        <v>345000</v>
      </c>
      <c r="Y22" s="16">
        <f>SUM(Assumptions!$C$33:'Assumptions'!$C$38)*INDEX(Assumptions!$C$48:$E$48,1,MATCH(Assumptions!$C$5,Assumptions!$C$43:$E$43,0))</f>
        <v>345000</v>
      </c>
      <c r="Z22" s="16">
        <f>SUM(Assumptions!$C$33:'Assumptions'!$C$38)*INDEX(Assumptions!$C$48:$E$48,1,MATCH(Assumptions!$C$5,Assumptions!$C$43:$E$43,0))</f>
        <v>345000</v>
      </c>
      <c r="AA22" s="16">
        <f>SUM(Assumptions!$C$33:'Assumptions'!$C$38)*INDEX(Assumptions!$C$48:$E$48,1,MATCH(Assumptions!$C$5,Assumptions!$C$43:$E$43,0))</f>
        <v>345000</v>
      </c>
      <c r="AB22" s="16">
        <f>SUM(Assumptions!$C$33:'Assumptions'!$C$38)*INDEX(Assumptions!$C$48:$E$48,1,MATCH(Assumptions!$C$5,Assumptions!$C$43:$E$43,0))</f>
        <v>345000</v>
      </c>
      <c r="AC22" s="16">
        <f>SUM(Assumptions!$C$33:'Assumptions'!$C$38)*INDEX(Assumptions!$C$48:$E$48,1,MATCH(Assumptions!$C$5,Assumptions!$C$43:$E$43,0))</f>
        <v>345000</v>
      </c>
      <c r="AD22" s="16">
        <f>SUM(Assumptions!$C$33:'Assumptions'!$C$38)*INDEX(Assumptions!$C$48:$E$48,1,MATCH(Assumptions!$C$5,Assumptions!$C$43:$E$43,0))</f>
        <v>345000</v>
      </c>
      <c r="AE22" s="16">
        <f>SUM(Assumptions!$C$33:'Assumptions'!$C$38)*INDEX(Assumptions!$C$48:$E$48,1,MATCH(Assumptions!$C$5,Assumptions!$C$43:$E$43,0))</f>
        <v>345000</v>
      </c>
      <c r="AF22" s="16">
        <f>SUM(Assumptions!$C$33:'Assumptions'!$C$38)*INDEX(Assumptions!$C$48:$E$48,1,MATCH(Assumptions!$C$5,Assumptions!$C$43:$E$43,0))</f>
        <v>345000</v>
      </c>
      <c r="AG22" s="16">
        <f>SUM(Assumptions!$C$33:'Assumptions'!$C$38)*INDEX(Assumptions!$C$48:$E$48,1,MATCH(Assumptions!$C$5,Assumptions!$C$43:$E$43,0))</f>
        <v>345000</v>
      </c>
      <c r="AH22" s="16">
        <f>SUM(Assumptions!$C$33:'Assumptions'!$C$38)*INDEX(Assumptions!$C$48:$E$48,1,MATCH(Assumptions!$C$5,Assumptions!$C$43:$E$43,0))</f>
        <v>345000</v>
      </c>
      <c r="AI22" s="16">
        <f>SUM(Assumptions!$C$33:'Assumptions'!$C$38)*INDEX(Assumptions!$C$48:$E$48,1,MATCH(Assumptions!$C$5,Assumptions!$C$43:$E$43,0))</f>
        <v>345000</v>
      </c>
      <c r="AJ22" s="16">
        <f>SUM(Assumptions!$C$33:'Assumptions'!$C$38)*INDEX(Assumptions!$C$48:$E$48,1,MATCH(Assumptions!$C$5,Assumptions!$C$43:$E$43,0))</f>
        <v>345000</v>
      </c>
      <c r="AK22" s="16">
        <f>SUM(Assumptions!$C$33:'Assumptions'!$C$38)*INDEX(Assumptions!$C$48:$E$48,1,MATCH(Assumptions!$C$5,Assumptions!$C$43:$E$43,0))</f>
        <v>345000</v>
      </c>
      <c r="AL22" s="16">
        <f>SUM(Assumptions!$C$33:'Assumptions'!$C$38)*INDEX(Assumptions!$C$48:$E$48,1,MATCH(Assumptions!$C$5,Assumptions!$C$43:$E$43,0))</f>
        <v>345000</v>
      </c>
      <c r="AM22" s="16"/>
    </row>
    <row r="23" spans="1:39" ht="15">
      <c r="A23" s="1"/>
      <c r="B23" s="9" t="s">
        <v>151</v>
      </c>
      <c r="C23" s="17">
        <f t="shared" ref="C23:AL23" si="3">C21-C22</f>
        <v>113425</v>
      </c>
      <c r="D23" s="17">
        <f t="shared" si="3"/>
        <v>122593.5</v>
      </c>
      <c r="E23" s="17">
        <f t="shared" si="3"/>
        <v>131945.37</v>
      </c>
      <c r="F23" s="17">
        <f t="shared" si="3"/>
        <v>141484.27739999996</v>
      </c>
      <c r="G23" s="17">
        <f t="shared" si="3"/>
        <v>151213.96294799994</v>
      </c>
      <c r="H23" s="17">
        <f t="shared" si="3"/>
        <v>161138.24220695999</v>
      </c>
      <c r="I23" s="17">
        <f t="shared" si="3"/>
        <v>171261.00705109921</v>
      </c>
      <c r="J23" s="17">
        <f t="shared" si="3"/>
        <v>181586.22719212133</v>
      </c>
      <c r="K23" s="17">
        <f t="shared" si="3"/>
        <v>192117.95173596346</v>
      </c>
      <c r="L23" s="17">
        <f t="shared" si="3"/>
        <v>202860.31077068299</v>
      </c>
      <c r="M23" s="17">
        <f t="shared" si="3"/>
        <v>213817.51698609651</v>
      </c>
      <c r="N23" s="17">
        <f t="shared" si="3"/>
        <v>224993.86732581817</v>
      </c>
      <c r="O23" s="17">
        <f t="shared" si="3"/>
        <v>236393.74467233464</v>
      </c>
      <c r="P23" s="17">
        <f t="shared" si="3"/>
        <v>248021.61956578132</v>
      </c>
      <c r="Q23" s="17">
        <f t="shared" si="3"/>
        <v>259882.05195709702</v>
      </c>
      <c r="R23" s="17">
        <f t="shared" si="3"/>
        <v>271979.69299623894</v>
      </c>
      <c r="S23" s="17">
        <f t="shared" si="3"/>
        <v>284319.28685616376</v>
      </c>
      <c r="T23" s="17">
        <f t="shared" si="3"/>
        <v>296905.67259328719</v>
      </c>
      <c r="U23" s="17">
        <f t="shared" si="3"/>
        <v>309743.78604515293</v>
      </c>
      <c r="V23" s="17">
        <f t="shared" si="3"/>
        <v>322838.66176605574</v>
      </c>
      <c r="W23" s="17">
        <f t="shared" si="3"/>
        <v>336195.43500137702</v>
      </c>
      <c r="X23" s="17">
        <f t="shared" si="3"/>
        <v>349819.34370140464</v>
      </c>
      <c r="Y23" s="17">
        <f t="shared" si="3"/>
        <v>363715.73057543265</v>
      </c>
      <c r="Z23" s="17">
        <f t="shared" si="3"/>
        <v>377890.04518694116</v>
      </c>
      <c r="AA23" s="17">
        <f t="shared" si="3"/>
        <v>430821.66509812733</v>
      </c>
      <c r="AB23" s="17">
        <f t="shared" si="3"/>
        <v>446338.09840009001</v>
      </c>
      <c r="AC23" s="17">
        <f t="shared" si="3"/>
        <v>462164.86036809161</v>
      </c>
      <c r="AD23" s="17">
        <f t="shared" si="3"/>
        <v>478308.15757545352</v>
      </c>
      <c r="AE23" s="17">
        <f t="shared" si="3"/>
        <v>494774.32072696241</v>
      </c>
      <c r="AF23" s="17">
        <f t="shared" si="3"/>
        <v>511569.80714150146</v>
      </c>
      <c r="AG23" s="17">
        <f t="shared" si="3"/>
        <v>528701.20328433195</v>
      </c>
      <c r="AH23" s="17">
        <f t="shared" si="3"/>
        <v>546175.22735001845</v>
      </c>
      <c r="AI23" s="17">
        <f t="shared" si="3"/>
        <v>563998.73189701885</v>
      </c>
      <c r="AJ23" s="17">
        <f t="shared" si="3"/>
        <v>582178.70653495926</v>
      </c>
      <c r="AK23" s="17">
        <f t="shared" si="3"/>
        <v>600722.28066565865</v>
      </c>
      <c r="AL23" s="17">
        <f t="shared" si="3"/>
        <v>619636.72627897165</v>
      </c>
      <c r="AM23" s="17"/>
    </row>
    <row r="24" spans="1:39">
      <c r="A24" s="1"/>
      <c r="B24" s="1" t="s">
        <v>152</v>
      </c>
      <c r="C24" s="18">
        <f t="shared" ref="C24:AL24" si="4">IFERROR(C23/C19,0)</f>
        <v>0.22038179433623159</v>
      </c>
      <c r="D24" s="18">
        <f t="shared" si="4"/>
        <v>0.23352544009783444</v>
      </c>
      <c r="E24" s="18">
        <f t="shared" si="4"/>
        <v>0.24641136731509211</v>
      </c>
      <c r="F24" s="18">
        <f t="shared" si="4"/>
        <v>0.2590446292927957</v>
      </c>
      <c r="G24" s="18">
        <f t="shared" si="4"/>
        <v>0.27143018025132859</v>
      </c>
      <c r="H24" s="18">
        <f t="shared" si="4"/>
        <v>0.2835728772694982</v>
      </c>
      <c r="I24" s="18">
        <f t="shared" si="4"/>
        <v>0.29547748218927233</v>
      </c>
      <c r="J24" s="18">
        <f t="shared" si="4"/>
        <v>0.30714866348316866</v>
      </c>
      <c r="K24" s="18">
        <f t="shared" si="4"/>
        <v>0.31859099808502728</v>
      </c>
      <c r="L24" s="18">
        <f t="shared" si="4"/>
        <v>0.32980897318488939</v>
      </c>
      <c r="M24" s="18">
        <f t="shared" si="4"/>
        <v>0.34080698798867526</v>
      </c>
      <c r="N24" s="18">
        <f t="shared" si="4"/>
        <v>0.35158935544336711</v>
      </c>
      <c r="O24" s="18">
        <f t="shared" si="4"/>
        <v>0.36216030392835957</v>
      </c>
      <c r="P24" s="18">
        <f t="shared" si="4"/>
        <v>0.37252397891364614</v>
      </c>
      <c r="Q24" s="18">
        <f t="shared" si="4"/>
        <v>0.38268444458549589</v>
      </c>
      <c r="R24" s="18">
        <f t="shared" si="4"/>
        <v>0.39264568544025036</v>
      </c>
      <c r="S24" s="18">
        <f t="shared" si="4"/>
        <v>0.40241160784687247</v>
      </c>
      <c r="T24" s="18">
        <f t="shared" si="4"/>
        <v>0.41198604157885499</v>
      </c>
      <c r="U24" s="18">
        <f t="shared" si="4"/>
        <v>0.4213727413160927</v>
      </c>
      <c r="V24" s="18">
        <f t="shared" si="4"/>
        <v>0.43057538811730589</v>
      </c>
      <c r="W24" s="18">
        <f t="shared" si="4"/>
        <v>0.43959759086359368</v>
      </c>
      <c r="X24" s="18">
        <f t="shared" si="4"/>
        <v>0.44844288767367968</v>
      </c>
      <c r="Y24" s="18">
        <f t="shared" si="4"/>
        <v>0.45711474729141088</v>
      </c>
      <c r="Z24" s="18">
        <f t="shared" si="4"/>
        <v>0.46561657044604937</v>
      </c>
      <c r="AA24" s="18">
        <f t="shared" si="4"/>
        <v>0.49731446942711777</v>
      </c>
      <c r="AB24" s="18">
        <f t="shared" si="4"/>
        <v>0.50512323669500026</v>
      </c>
      <c r="AC24" s="18">
        <f t="shared" si="4"/>
        <v>0.51277889087919859</v>
      </c>
      <c r="AD24" s="18">
        <f t="shared" si="4"/>
        <v>0.52028443419704018</v>
      </c>
      <c r="AE24" s="18">
        <f t="shared" si="4"/>
        <v>0.52764280999884561</v>
      </c>
      <c r="AF24" s="18">
        <f t="shared" si="4"/>
        <v>0.53485690392218421</v>
      </c>
      <c r="AG24" s="18">
        <f t="shared" si="4"/>
        <v>0.54192954502349688</v>
      </c>
      <c r="AH24" s="18">
        <f t="shared" si="4"/>
        <v>0.54886350688752872</v>
      </c>
      <c r="AI24" s="18">
        <f t="shared" si="4"/>
        <v>0.55566150871501097</v>
      </c>
      <c r="AJ24" s="18">
        <f t="shared" si="4"/>
        <v>0.56232621638901314</v>
      </c>
      <c r="AK24" s="18">
        <f t="shared" si="4"/>
        <v>0.56886024352038789</v>
      </c>
      <c r="AL24" s="18">
        <f t="shared" si="4"/>
        <v>0.57526615247271584</v>
      </c>
      <c r="AM24" s="18"/>
    </row>
    <row r="25" spans="1:39">
      <c r="A25" s="1"/>
      <c r="B25" s="1" t="s">
        <v>153</v>
      </c>
      <c r="C25" s="16">
        <f t="shared" ref="C25:AL25" si="5">C23</f>
        <v>113425</v>
      </c>
      <c r="D25" s="16">
        <f t="shared" si="5"/>
        <v>122593.5</v>
      </c>
      <c r="E25" s="16">
        <f t="shared" si="5"/>
        <v>131945.37</v>
      </c>
      <c r="F25" s="16">
        <f t="shared" si="5"/>
        <v>141484.27739999996</v>
      </c>
      <c r="G25" s="16">
        <f t="shared" si="5"/>
        <v>151213.96294799994</v>
      </c>
      <c r="H25" s="16">
        <f t="shared" si="5"/>
        <v>161138.24220695999</v>
      </c>
      <c r="I25" s="16">
        <f t="shared" si="5"/>
        <v>171261.00705109921</v>
      </c>
      <c r="J25" s="16">
        <f t="shared" si="5"/>
        <v>181586.22719212133</v>
      </c>
      <c r="K25" s="16">
        <f t="shared" si="5"/>
        <v>192117.95173596346</v>
      </c>
      <c r="L25" s="16">
        <f t="shared" si="5"/>
        <v>202860.31077068299</v>
      </c>
      <c r="M25" s="16">
        <f t="shared" si="5"/>
        <v>213817.51698609651</v>
      </c>
      <c r="N25" s="16">
        <f t="shared" si="5"/>
        <v>224993.86732581817</v>
      </c>
      <c r="O25" s="16">
        <f t="shared" si="5"/>
        <v>236393.74467233464</v>
      </c>
      <c r="P25" s="16">
        <f t="shared" si="5"/>
        <v>248021.61956578132</v>
      </c>
      <c r="Q25" s="16">
        <f t="shared" si="5"/>
        <v>259882.05195709702</v>
      </c>
      <c r="R25" s="16">
        <f t="shared" si="5"/>
        <v>271979.69299623894</v>
      </c>
      <c r="S25" s="16">
        <f t="shared" si="5"/>
        <v>284319.28685616376</v>
      </c>
      <c r="T25" s="16">
        <f t="shared" si="5"/>
        <v>296905.67259328719</v>
      </c>
      <c r="U25" s="16">
        <f t="shared" si="5"/>
        <v>309743.78604515293</v>
      </c>
      <c r="V25" s="16">
        <f t="shared" si="5"/>
        <v>322838.66176605574</v>
      </c>
      <c r="W25" s="16">
        <f t="shared" si="5"/>
        <v>336195.43500137702</v>
      </c>
      <c r="X25" s="16">
        <f t="shared" si="5"/>
        <v>349819.34370140464</v>
      </c>
      <c r="Y25" s="16">
        <f t="shared" si="5"/>
        <v>363715.73057543265</v>
      </c>
      <c r="Z25" s="16">
        <f t="shared" si="5"/>
        <v>377890.04518694116</v>
      </c>
      <c r="AA25" s="16">
        <f t="shared" si="5"/>
        <v>430821.66509812733</v>
      </c>
      <c r="AB25" s="16">
        <f t="shared" si="5"/>
        <v>446338.09840009001</v>
      </c>
      <c r="AC25" s="16">
        <f t="shared" si="5"/>
        <v>462164.86036809161</v>
      </c>
      <c r="AD25" s="16">
        <f t="shared" si="5"/>
        <v>478308.15757545352</v>
      </c>
      <c r="AE25" s="16">
        <f t="shared" si="5"/>
        <v>494774.32072696241</v>
      </c>
      <c r="AF25" s="16">
        <f t="shared" si="5"/>
        <v>511569.80714150146</v>
      </c>
      <c r="AG25" s="16">
        <f t="shared" si="5"/>
        <v>528701.20328433195</v>
      </c>
      <c r="AH25" s="16">
        <f t="shared" si="5"/>
        <v>546175.22735001845</v>
      </c>
      <c r="AI25" s="16">
        <f t="shared" si="5"/>
        <v>563998.73189701885</v>
      </c>
      <c r="AJ25" s="16">
        <f t="shared" si="5"/>
        <v>582178.70653495926</v>
      </c>
      <c r="AK25" s="16">
        <f t="shared" si="5"/>
        <v>600722.28066565865</v>
      </c>
      <c r="AL25" s="16">
        <f t="shared" si="5"/>
        <v>619636.72627897165</v>
      </c>
      <c r="AM25" s="16"/>
    </row>
    <row r="26" spans="1:39" ht="15">
      <c r="A26" s="1"/>
      <c r="B26" s="9" t="s">
        <v>154</v>
      </c>
      <c r="C26" s="17">
        <f>Assumptions!$C$7+C25</f>
        <v>1113425</v>
      </c>
      <c r="D26" s="17">
        <f t="shared" ref="D26:AL26" si="6">C26+D25</f>
        <v>1236018.5</v>
      </c>
      <c r="E26" s="17">
        <f t="shared" si="6"/>
        <v>1367963.87</v>
      </c>
      <c r="F26" s="17">
        <f t="shared" si="6"/>
        <v>1509448.1474000001</v>
      </c>
      <c r="G26" s="17">
        <f t="shared" si="6"/>
        <v>1660662.1103480002</v>
      </c>
      <c r="H26" s="17">
        <f t="shared" si="6"/>
        <v>1821800.3525549602</v>
      </c>
      <c r="I26" s="17">
        <f t="shared" si="6"/>
        <v>1993061.3596060593</v>
      </c>
      <c r="J26" s="17">
        <f t="shared" si="6"/>
        <v>2174647.5867981808</v>
      </c>
      <c r="K26" s="17">
        <f t="shared" si="6"/>
        <v>2366765.5385341444</v>
      </c>
      <c r="L26" s="17">
        <f t="shared" si="6"/>
        <v>2569625.8493048274</v>
      </c>
      <c r="M26" s="17">
        <f t="shared" si="6"/>
        <v>2783443.3662909241</v>
      </c>
      <c r="N26" s="17">
        <f t="shared" si="6"/>
        <v>3008437.2336167423</v>
      </c>
      <c r="O26" s="17">
        <f t="shared" si="6"/>
        <v>3244830.9782890771</v>
      </c>
      <c r="P26" s="17">
        <f t="shared" si="6"/>
        <v>3492852.5978548583</v>
      </c>
      <c r="Q26" s="17">
        <f t="shared" si="6"/>
        <v>3752734.6498119552</v>
      </c>
      <c r="R26" s="17">
        <f t="shared" si="6"/>
        <v>4024714.342808194</v>
      </c>
      <c r="S26" s="17">
        <f t="shared" si="6"/>
        <v>4309033.6296643578</v>
      </c>
      <c r="T26" s="17">
        <f t="shared" si="6"/>
        <v>4605939.3022576449</v>
      </c>
      <c r="U26" s="17">
        <f t="shared" si="6"/>
        <v>4915683.0883027976</v>
      </c>
      <c r="V26" s="17">
        <f t="shared" si="6"/>
        <v>5238521.7500688536</v>
      </c>
      <c r="W26" s="17">
        <f t="shared" si="6"/>
        <v>5574717.1850702306</v>
      </c>
      <c r="X26" s="17">
        <f t="shared" si="6"/>
        <v>5924536.5287716351</v>
      </c>
      <c r="Y26" s="17">
        <f t="shared" si="6"/>
        <v>6288252.2593470681</v>
      </c>
      <c r="Z26" s="17">
        <f t="shared" si="6"/>
        <v>6666142.3045340097</v>
      </c>
      <c r="AA26" s="17">
        <f t="shared" si="6"/>
        <v>7096963.9696321366</v>
      </c>
      <c r="AB26" s="17">
        <f t="shared" si="6"/>
        <v>7543302.0680322265</v>
      </c>
      <c r="AC26" s="17">
        <f t="shared" si="6"/>
        <v>8005466.9284003181</v>
      </c>
      <c r="AD26" s="17">
        <f t="shared" si="6"/>
        <v>8483775.0859757718</v>
      </c>
      <c r="AE26" s="17">
        <f t="shared" si="6"/>
        <v>8978549.4067027345</v>
      </c>
      <c r="AF26" s="17">
        <f t="shared" si="6"/>
        <v>9490119.213844236</v>
      </c>
      <c r="AG26" s="17">
        <f t="shared" si="6"/>
        <v>10018820.417128569</v>
      </c>
      <c r="AH26" s="17">
        <f t="shared" si="6"/>
        <v>10564995.644478587</v>
      </c>
      <c r="AI26" s="17">
        <f t="shared" si="6"/>
        <v>11128994.376375606</v>
      </c>
      <c r="AJ26" s="17">
        <f t="shared" si="6"/>
        <v>11711173.082910566</v>
      </c>
      <c r="AK26" s="17">
        <f t="shared" si="6"/>
        <v>12311895.363576224</v>
      </c>
      <c r="AL26" s="17">
        <f t="shared" si="6"/>
        <v>12931532.089855196</v>
      </c>
      <c r="AM26" s="17"/>
    </row>
    <row r="27" spans="1:3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</sheetData>
  <mergeCells count="1">
    <mergeCell ref="B4:A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20"/>
  <sheetViews>
    <sheetView workbookViewId="0"/>
  </sheetViews>
  <sheetFormatPr defaultRowHeight="14.25"/>
  <cols>
    <col min="1" max="1" width="3" customWidth="1"/>
    <col min="2" max="2" width="36" customWidth="1"/>
    <col min="3" max="39" width="15" customWidth="1"/>
  </cols>
  <sheetData>
    <row r="1" spans="1:39">
      <c r="A1" s="1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ht="27.95" customHeight="1">
      <c r="A2" s="1"/>
      <c r="B2" s="2" t="s">
        <v>155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15">
      <c r="A4" s="1"/>
      <c r="B4" s="22" t="s">
        <v>156</v>
      </c>
      <c r="C4" s="22" t="s">
        <v>156</v>
      </c>
      <c r="D4" s="22" t="s">
        <v>156</v>
      </c>
      <c r="E4" s="22" t="s">
        <v>156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5">
      <c r="A5" s="1"/>
      <c r="B5" s="7" t="s">
        <v>90</v>
      </c>
      <c r="C5" s="7">
        <v>2026</v>
      </c>
      <c r="D5" s="7">
        <v>2027</v>
      </c>
      <c r="E5" s="7">
        <v>2028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>
      <c r="A6" s="1"/>
      <c r="B6" s="1" t="s">
        <v>157</v>
      </c>
      <c r="C6" s="8">
        <f>'Monthly Model'!N7</f>
        <v>3108.4357709866299</v>
      </c>
      <c r="D6" s="8">
        <f>'Monthly Model'!Z7</f>
        <v>3942.248160478493</v>
      </c>
      <c r="E6" s="8">
        <f>'Monthly Model'!AM7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5">
      <c r="A7" s="1"/>
      <c r="B7" s="9" t="s">
        <v>158</v>
      </c>
      <c r="C7" s="17">
        <f>SUM('Monthly Model'!C19:N19)</f>
        <v>6902867.2808239013</v>
      </c>
      <c r="D7" s="17">
        <f>SUM('Monthly Model'!O19:Z19)</f>
        <v>8754504.7878591809</v>
      </c>
      <c r="E7" s="17">
        <f>SUM('Monthly Model'!AA19:AM19)</f>
        <v>11618843.17537253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ht="15">
      <c r="A8" s="1"/>
      <c r="B8" s="9" t="s">
        <v>151</v>
      </c>
      <c r="C8" s="17">
        <f>SUM('Monthly Model'!C23:N23)</f>
        <v>2008437.2336167416</v>
      </c>
      <c r="D8" s="17">
        <f>SUM('Monthly Model'!O23:Z23)</f>
        <v>3657705.0709172664</v>
      </c>
      <c r="E8" s="17">
        <f>SUM('Monthly Model'!AA23:AM23)</f>
        <v>6265389.7853211854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>
      <c r="A9" s="1"/>
      <c r="B9" s="1" t="s">
        <v>152</v>
      </c>
      <c r="C9" s="18">
        <f>IFERROR(C8/C7,0)</f>
        <v>0.29095695338025124</v>
      </c>
      <c r="D9" s="18">
        <f>IFERROR(D8/D7,0)</f>
        <v>0.41780833520015909</v>
      </c>
      <c r="E9" s="18">
        <f>IFERROR(E8/E7,0)</f>
        <v>0.53924385506823924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>
      <c r="A10" s="1"/>
      <c r="B10" s="1" t="s">
        <v>153</v>
      </c>
      <c r="C10" s="16">
        <f>SUM('Monthly Model'!C25:N25)</f>
        <v>2008437.2336167416</v>
      </c>
      <c r="D10" s="16">
        <f>SUM('Monthly Model'!O25:Z25)</f>
        <v>3657705.0709172664</v>
      </c>
      <c r="E10" s="16">
        <f>SUM('Monthly Model'!AA25:AM25)</f>
        <v>6265389.7853211854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">
      <c r="A11" s="1"/>
      <c r="B11" s="9" t="s">
        <v>159</v>
      </c>
      <c r="C11" s="17">
        <f>'Monthly Model'!N26</f>
        <v>3008437.2336167423</v>
      </c>
      <c r="D11" s="17">
        <f>'Monthly Model'!Z26</f>
        <v>6666142.3045340097</v>
      </c>
      <c r="E11" s="17">
        <f>'Monthly Model'!AM26</f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</sheetData>
  <mergeCells count="1">
    <mergeCell ref="B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20"/>
  <sheetViews>
    <sheetView workbookViewId="0">
      <selection activeCell="C9" sqref="C9"/>
    </sheetView>
  </sheetViews>
  <sheetFormatPr defaultRowHeight="14.25"/>
  <cols>
    <col min="1" max="1" width="3" customWidth="1"/>
    <col min="2" max="2" width="36" customWidth="1"/>
    <col min="3" max="39" width="15" customWidth="1"/>
  </cols>
  <sheetData>
    <row r="1" spans="1:39">
      <c r="A1" s="1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ht="27.95" customHeight="1">
      <c r="A2" s="1"/>
      <c r="B2" s="2" t="s">
        <v>160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15">
      <c r="A4" s="1"/>
      <c r="B4" s="22" t="s">
        <v>160</v>
      </c>
      <c r="C4" s="22" t="s">
        <v>160</v>
      </c>
      <c r="D4" s="22" t="s">
        <v>160</v>
      </c>
      <c r="E4" s="22" t="s">
        <v>160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5">
      <c r="A5" s="1"/>
      <c r="B5" s="7" t="s">
        <v>90</v>
      </c>
      <c r="C5" s="7">
        <v>2026</v>
      </c>
      <c r="D5" s="7">
        <v>2027</v>
      </c>
      <c r="E5" s="7">
        <v>2028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>
      <c r="A6" s="1"/>
      <c r="B6" s="1" t="s">
        <v>161</v>
      </c>
      <c r="C6" s="8">
        <f>AVERAGE('Monthly Model'!C7:N7)</f>
        <v>2794.1853600265131</v>
      </c>
      <c r="D6" s="8">
        <f>AVERAGE('Monthly Model'!O7:Z7)</f>
        <v>3543.7026553404171</v>
      </c>
      <c r="E6" s="8">
        <f>AVERAGE('Monthly Model'!AA7:AM7)</f>
        <v>4494.2718150049868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>
      <c r="A7" s="1"/>
      <c r="B7" s="1" t="s">
        <v>158</v>
      </c>
      <c r="C7" s="16">
        <f>'Annual Summary'!C7</f>
        <v>6902867.2808239013</v>
      </c>
      <c r="D7" s="16">
        <f>'Annual Summary'!D7</f>
        <v>8754504.7878591809</v>
      </c>
      <c r="E7" s="16">
        <f>'Annual Summary'!E7</f>
        <v>11618843.17537253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>
      <c r="A8" s="1"/>
      <c r="B8" s="1" t="s">
        <v>162</v>
      </c>
      <c r="C8" s="16">
        <f>C7/C6</f>
        <v>2470.440000000001</v>
      </c>
      <c r="D8" s="16">
        <f>D7/D6</f>
        <v>2470.44</v>
      </c>
      <c r="E8" s="16">
        <f>E7/E6</f>
        <v>2585.2559999999994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>
      <c r="A9" s="1"/>
      <c r="B9" s="1" t="s">
        <v>76</v>
      </c>
      <c r="C9" s="16">
        <f>Assumptions!$C$28*INDEX(Assumptions!$C$47:$E$47,1,MATCH(Assumptions!$C$5,Assumptions!$C$43:$E$43,0))</f>
        <v>300</v>
      </c>
      <c r="D9" s="16">
        <f>Assumptions!$C$28*INDEX(Assumptions!$C$47:$E$47,1,MATCH(Assumptions!$C$5,Assumptions!$C$43:$E$43,0))</f>
        <v>300</v>
      </c>
      <c r="E9" s="16">
        <f>Assumptions!$C$28*INDEX(Assumptions!$C$47:$E$47,1,MATCH(Assumptions!$C$5,Assumptions!$C$43:$E$43,0))</f>
        <v>300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>
      <c r="A10" s="1"/>
      <c r="B10" s="1" t="s">
        <v>163</v>
      </c>
      <c r="C10" s="16">
        <f>C8*Assumptions!$C$29</f>
        <v>29645.280000000013</v>
      </c>
      <c r="D10" s="16">
        <f>D8*Assumptions!$C$29</f>
        <v>29645.279999999999</v>
      </c>
      <c r="E10" s="16">
        <f>E8*Assumptions!$C$29</f>
        <v>31023.071999999993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">
      <c r="A11" s="1"/>
      <c r="B11" s="9" t="s">
        <v>164</v>
      </c>
      <c r="C11" s="19">
        <f>IFERROR(C10/C9,0)</f>
        <v>98.817600000000041</v>
      </c>
      <c r="D11" s="19">
        <f>IFERROR(D10/D9,0)</f>
        <v>98.817599999999999</v>
      </c>
      <c r="E11" s="19">
        <f>IFERROR(E10/E9,0)</f>
        <v>103.41023999999997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>
      <c r="A12" s="1"/>
      <c r="B12" s="1" t="s">
        <v>165</v>
      </c>
      <c r="C12" s="20">
        <f>IFERROR(C9/(C8/12),0)</f>
        <v>1.4572302909603141</v>
      </c>
      <c r="D12" s="20">
        <f>IFERROR(D9/(D8/12),0)</f>
        <v>1.4572302909603148</v>
      </c>
      <c r="E12" s="20">
        <f>IFERROR(E9/(E8/12),0)</f>
        <v>1.3925119988117234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</sheetData>
  <mergeCells count="1">
    <mergeCell ref="B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20"/>
  <sheetViews>
    <sheetView workbookViewId="0"/>
  </sheetViews>
  <sheetFormatPr defaultRowHeight="14.25"/>
  <cols>
    <col min="1" max="1" width="3" customWidth="1"/>
    <col min="2" max="2" width="36" customWidth="1"/>
    <col min="3" max="39" width="15" customWidth="1"/>
  </cols>
  <sheetData>
    <row r="1" spans="1:39">
      <c r="A1" s="1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ht="27.95" customHeight="1">
      <c r="A2" s="1"/>
      <c r="B2" s="2" t="s">
        <v>166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15">
      <c r="A4" s="1"/>
      <c r="B4" s="22" t="s">
        <v>167</v>
      </c>
      <c r="C4" s="22" t="s">
        <v>167</v>
      </c>
      <c r="D4" s="22" t="s">
        <v>167</v>
      </c>
      <c r="E4" s="22" t="s">
        <v>167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5">
      <c r="A5" s="1"/>
      <c r="B5" s="7" t="s">
        <v>90</v>
      </c>
      <c r="C5" s="7">
        <v>2026</v>
      </c>
      <c r="D5" s="7">
        <v>2027</v>
      </c>
      <c r="E5" s="7">
        <v>2028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>
      <c r="A6" s="1"/>
      <c r="B6" s="1" t="s">
        <v>158</v>
      </c>
      <c r="C6" s="16">
        <f>'Annual Summary'!C7</f>
        <v>6902867.2808239013</v>
      </c>
      <c r="D6" s="16">
        <f>'Annual Summary'!D7</f>
        <v>8754504.7878591809</v>
      </c>
      <c r="E6" s="16">
        <f>'Annual Summary'!E7</f>
        <v>11618843.17537253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>
      <c r="A7" s="1"/>
      <c r="B7" s="1" t="s">
        <v>148</v>
      </c>
      <c r="C7" s="16">
        <f>SUM('Monthly Model'!C20:N20)</f>
        <v>754430.04720715876</v>
      </c>
      <c r="D7" s="16">
        <f>SUM('Monthly Model'!O20:Z20)</f>
        <v>956799.71694191266</v>
      </c>
      <c r="E7" s="16">
        <f>SUM('Monthly Model'!AA20:AM20)</f>
        <v>1213453.3900513467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ht="15">
      <c r="A8" s="1"/>
      <c r="B8" s="9" t="s">
        <v>149</v>
      </c>
      <c r="C8" s="17">
        <f>C6-C7</f>
        <v>6148437.2336167423</v>
      </c>
      <c r="D8" s="17">
        <f>D6-D7</f>
        <v>7797705.0709172683</v>
      </c>
      <c r="E8" s="17">
        <f>E6-E7</f>
        <v>10405389.785321184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>
      <c r="A9" s="1"/>
      <c r="B9" s="1" t="s">
        <v>150</v>
      </c>
      <c r="C9" s="16">
        <f>SUM('Monthly Model'!C22:N22)</f>
        <v>4140000</v>
      </c>
      <c r="D9" s="16">
        <f>SUM('Monthly Model'!O22:Z22)</f>
        <v>4140000</v>
      </c>
      <c r="E9" s="16">
        <f>SUM('Monthly Model'!AA22:AM22)</f>
        <v>4140000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15">
      <c r="A10" s="1"/>
      <c r="B10" s="9" t="s">
        <v>151</v>
      </c>
      <c r="C10" s="17">
        <f>C8-C9</f>
        <v>2008437.2336167423</v>
      </c>
      <c r="D10" s="17">
        <f>D8-D9</f>
        <v>3657705.0709172683</v>
      </c>
      <c r="E10" s="17">
        <f>E8-E9</f>
        <v>6265389.7853211835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>
      <c r="A11" s="1"/>
      <c r="B11" s="1" t="s">
        <v>152</v>
      </c>
      <c r="C11" s="18">
        <f>IFERROR(C10/C6,0)</f>
        <v>0.29095695338025135</v>
      </c>
      <c r="D11" s="18">
        <f>IFERROR(D10/D6,0)</f>
        <v>0.41780833520015931</v>
      </c>
      <c r="E11" s="18">
        <f>IFERROR(E10/E6,0)</f>
        <v>0.53924385506823913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</sheetData>
  <mergeCells count="1">
    <mergeCell ref="B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120"/>
  <sheetViews>
    <sheetView workbookViewId="0">
      <selection activeCell="C8" sqref="C8"/>
    </sheetView>
  </sheetViews>
  <sheetFormatPr defaultRowHeight="14.25"/>
  <cols>
    <col min="1" max="1" width="3" customWidth="1"/>
    <col min="2" max="2" width="54.75" customWidth="1"/>
    <col min="3" max="40" width="15" customWidth="1"/>
  </cols>
  <sheetData>
    <row r="1" spans="1:40">
      <c r="A1" s="1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 spans="1:40" ht="27.95" customHeight="1">
      <c r="A2" s="1"/>
      <c r="B2" s="2" t="s">
        <v>168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5">
      <c r="A4" s="1"/>
      <c r="B4" s="22" t="s">
        <v>169</v>
      </c>
      <c r="C4" s="22"/>
      <c r="D4" s="22" t="s">
        <v>169</v>
      </c>
      <c r="E4" s="22" t="s">
        <v>169</v>
      </c>
      <c r="F4" s="22" t="s">
        <v>169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5">
      <c r="A5" s="1"/>
      <c r="B5" s="7" t="s">
        <v>90</v>
      </c>
      <c r="C5" s="7" t="s">
        <v>218</v>
      </c>
      <c r="D5" s="7">
        <v>2026</v>
      </c>
      <c r="E5" s="7">
        <v>2027</v>
      </c>
      <c r="F5" s="7">
        <v>2028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"/>
      <c r="B6" s="1" t="s">
        <v>170</v>
      </c>
      <c r="C6">
        <v>-1000000</v>
      </c>
      <c r="D6" s="16"/>
      <c r="E6" s="16">
        <f>0</f>
        <v>0</v>
      </c>
      <c r="F6" s="16">
        <f>0</f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15" thickBot="1">
      <c r="A7" s="1"/>
      <c r="B7" s="1" t="s">
        <v>153</v>
      </c>
      <c r="D7" s="16">
        <f>'Annual Summary'!C10</f>
        <v>2008437.2336167416</v>
      </c>
      <c r="E7" s="16">
        <f>'Annual Summary'!D10</f>
        <v>3657705.0709172664</v>
      </c>
      <c r="F7" s="16">
        <f>'Annual Summary'!E10</f>
        <v>6265389.7853211854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15.75" thickBot="1">
      <c r="A8" s="1"/>
      <c r="B8" s="9" t="s">
        <v>171</v>
      </c>
      <c r="C8">
        <v>-1000000</v>
      </c>
      <c r="D8" s="17">
        <f>D6+D7</f>
        <v>2008437.2336167416</v>
      </c>
      <c r="E8" s="17">
        <f>E6+E7</f>
        <v>3657705.0709172664</v>
      </c>
      <c r="F8" s="17">
        <f>F6+F7</f>
        <v>6265389.7853211854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15">
      <c r="A9" s="1"/>
      <c r="B9" s="9" t="s">
        <v>159</v>
      </c>
      <c r="C9">
        <v>-1000000</v>
      </c>
      <c r="D9" s="17">
        <f>D8</f>
        <v>2008437.2336167416</v>
      </c>
      <c r="E9" s="17">
        <f>D9+E8</f>
        <v>5666142.3045340078</v>
      </c>
      <c r="F9" s="17">
        <f>E9+F8</f>
        <v>11931532.089855194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"/>
      <c r="B10" s="1" t="s">
        <v>172</v>
      </c>
      <c r="C10">
        <v>-1000000</v>
      </c>
      <c r="D10" s="16">
        <f>D7/(1+Assumptions!$C$6)^1</f>
        <v>1702065.4522175777</v>
      </c>
      <c r="E10" s="16">
        <f>E7/(1+Assumptions!$C$6)^2</f>
        <v>2626906.8305926938</v>
      </c>
      <c r="F10" s="16">
        <f>F7/(1+Assumptions!$C$6)^3</f>
        <v>3813309.6527159461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</sheetData>
  <mergeCells count="1">
    <mergeCell ref="B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120"/>
  <sheetViews>
    <sheetView workbookViewId="0">
      <selection activeCell="D19" sqref="D19"/>
    </sheetView>
  </sheetViews>
  <sheetFormatPr defaultRowHeight="14.25"/>
  <cols>
    <col min="1" max="1" width="3" customWidth="1"/>
    <col min="2" max="2" width="36" customWidth="1"/>
    <col min="3" max="39" width="15" customWidth="1"/>
  </cols>
  <sheetData>
    <row r="1" spans="1:39">
      <c r="A1" s="1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ht="27.95" customHeight="1">
      <c r="A2" s="1"/>
      <c r="B2" s="2" t="s">
        <v>173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15">
      <c r="A4" s="1"/>
      <c r="B4" s="22" t="s">
        <v>173</v>
      </c>
      <c r="C4" s="22" t="s">
        <v>173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5">
      <c r="A5" s="1"/>
      <c r="B5" s="7" t="s">
        <v>90</v>
      </c>
      <c r="C5" s="7" t="s">
        <v>51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>
      <c r="A6" s="1"/>
      <c r="B6" s="1" t="s">
        <v>174</v>
      </c>
      <c r="C6" s="16">
        <f>SUM('Cash Flow'!D10:F10)-Assumptions!$C$7</f>
        <v>7142281.9355262183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>
      <c r="A7" s="1"/>
      <c r="B7" s="1" t="s">
        <v>175</v>
      </c>
      <c r="C7" s="18">
        <f>IRR('Cash Flow'!C8:F8)</f>
        <v>2.5410510666322259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>
      <c r="A8" s="1"/>
      <c r="B8" s="1" t="s">
        <v>176</v>
      </c>
      <c r="C8" s="15">
        <v>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15">
      <c r="A9" s="1"/>
      <c r="B9" s="9" t="s">
        <v>177</v>
      </c>
      <c r="C9" s="17">
        <f>'Annual Summary'!E7*C8</f>
        <v>34856529.526117593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>
      <c r="A10" s="1"/>
      <c r="B10" s="1" t="s">
        <v>178</v>
      </c>
      <c r="C10" s="16">
        <f>SUM('Annual Summary'!C8:E8)</f>
        <v>11931532.089855194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</sheetData>
  <mergeCells count="1">
    <mergeCell ref="B4:C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120"/>
  <sheetViews>
    <sheetView tabSelected="1" workbookViewId="0">
      <selection activeCell="E17" sqref="E17"/>
    </sheetView>
  </sheetViews>
  <sheetFormatPr defaultRowHeight="14.25"/>
  <cols>
    <col min="1" max="1" width="3" customWidth="1"/>
    <col min="2" max="2" width="36" customWidth="1"/>
    <col min="3" max="39" width="15" customWidth="1"/>
  </cols>
  <sheetData>
    <row r="1" spans="1:39">
      <c r="A1" s="1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ht="27.95" customHeight="1">
      <c r="A2" s="1"/>
      <c r="B2" s="2" t="s">
        <v>179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15">
      <c r="A4" s="1"/>
      <c r="B4" s="22" t="s">
        <v>180</v>
      </c>
      <c r="C4" s="22" t="s">
        <v>180</v>
      </c>
      <c r="D4" s="22" t="s">
        <v>180</v>
      </c>
      <c r="E4" s="22" t="s">
        <v>180</v>
      </c>
      <c r="F4" s="22" t="s">
        <v>180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5">
      <c r="A5" s="1"/>
      <c r="B5" s="7" t="s">
        <v>181</v>
      </c>
      <c r="C5" s="25">
        <v>0.03</v>
      </c>
      <c r="D5" s="25">
        <v>0.04</v>
      </c>
      <c r="E5" s="25">
        <v>0.05</v>
      </c>
      <c r="F5" s="7" t="s">
        <v>182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>
      <c r="A6" s="1"/>
      <c r="B6" s="18">
        <v>0.1</v>
      </c>
      <c r="C6" s="16">
        <f>Assumptions!$C$12*$B6*Assumptions!$C$16*VALUE(SUBSTITUTE(C$5,"%",""))/100+Assumptions!$C$12*Assumptions!$C$19*Assumptions!$C$18*12+Assumptions!$C$12*Assumptions!$C$20*12+Assumptions!$C$12*Assumptions!$C$21*12+Assumptions!$C$12*Assumptions!$C$22*Assumptions!$C$24*Assumptions!$C$23*12</f>
        <v>1677975</v>
      </c>
      <c r="D6" s="16">
        <f>Assumptions!$C$12*$B6*Assumptions!$C$16*VALUE(SUBSTITUTE(D$5,"%",""))/100+Assumptions!$C$12*Assumptions!$C$19*Assumptions!$C$18*12+Assumptions!$C$12*Assumptions!$C$20*12+Assumptions!$C$12*Assumptions!$C$21*12+Assumptions!$C$12*Assumptions!$C$22*Assumptions!$C$24*Assumptions!$C$23*12</f>
        <v>1678600</v>
      </c>
      <c r="E6" s="16">
        <f>Assumptions!$C$12*$B6*Assumptions!$C$16*VALUE(SUBSTITUTE(E$5,"%",""))/100+Assumptions!$C$12*Assumptions!$C$19*Assumptions!$C$18*12+Assumptions!$C$12*Assumptions!$C$20*12+Assumptions!$C$12*Assumptions!$C$21*12+Assumptions!$C$12*Assumptions!$C$22*Assumptions!$C$24*Assumptions!$C$23*12</f>
        <v>1679225</v>
      </c>
      <c r="F6" s="1" t="s">
        <v>183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>
      <c r="A7" s="1"/>
      <c r="B7" s="18">
        <v>0.15</v>
      </c>
      <c r="C7" s="16">
        <f>Assumptions!$C$12*$B7*Assumptions!$C$16*VALUE(SUBSTITUTE(C$5,"%",""))/100+Assumptions!$C$12*Assumptions!$C$19*Assumptions!$C$18*12+Assumptions!$C$12*Assumptions!$C$20*12+Assumptions!$C$12*Assumptions!$C$21*12+Assumptions!$C$12*Assumptions!$C$22*Assumptions!$C$24*Assumptions!$C$23*12</f>
        <v>1678912.5</v>
      </c>
      <c r="D7" s="16">
        <f>Assumptions!$C$12*$B7*Assumptions!$C$16*VALUE(SUBSTITUTE(D$5,"%",""))/100+Assumptions!$C$12*Assumptions!$C$19*Assumptions!$C$18*12+Assumptions!$C$12*Assumptions!$C$20*12+Assumptions!$C$12*Assumptions!$C$21*12+Assumptions!$C$12*Assumptions!$C$22*Assumptions!$C$24*Assumptions!$C$23*12</f>
        <v>1679850</v>
      </c>
      <c r="E7" s="16">
        <f>Assumptions!$C$12*$B7*Assumptions!$C$16*VALUE(SUBSTITUTE(E$5,"%",""))/100+Assumptions!$C$12*Assumptions!$C$19*Assumptions!$C$18*12+Assumptions!$C$12*Assumptions!$C$20*12+Assumptions!$C$12*Assumptions!$C$21*12+Assumptions!$C$12*Assumptions!$C$22*Assumptions!$C$24*Assumptions!$C$23*12</f>
        <v>1680787.5</v>
      </c>
      <c r="F7" s="1" t="s">
        <v>184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>
      <c r="A8" s="1"/>
      <c r="B8" s="18">
        <v>0.2</v>
      </c>
      <c r="C8" s="16">
        <f>Assumptions!$C$12*$B8*Assumptions!$C$16*VALUE(SUBSTITUTE(C$5,"%",""))/100+Assumptions!$C$12*Assumptions!$C$19*Assumptions!$C$18*12+Assumptions!$C$12*Assumptions!$C$20*12+Assumptions!$C$12*Assumptions!$C$21*12+Assumptions!$C$12*Assumptions!$C$22*Assumptions!$C$24*Assumptions!$C$23*12</f>
        <v>1679850</v>
      </c>
      <c r="D8" s="16">
        <f>Assumptions!$C$12*$B8*Assumptions!$C$16*VALUE(SUBSTITUTE(D$5,"%",""))/100+Assumptions!$C$12*Assumptions!$C$19*Assumptions!$C$18*12+Assumptions!$C$12*Assumptions!$C$20*12+Assumptions!$C$12*Assumptions!$C$21*12+Assumptions!$C$12*Assumptions!$C$22*Assumptions!$C$24*Assumptions!$C$23*12</f>
        <v>1681100</v>
      </c>
      <c r="E8" s="16">
        <f>Assumptions!$C$12*$B8*Assumptions!$C$16*VALUE(SUBSTITUTE(E$5,"%",""))/100+Assumptions!$C$12*Assumptions!$C$19*Assumptions!$C$18*12+Assumptions!$C$12*Assumptions!$C$20*12+Assumptions!$C$12*Assumptions!$C$21*12+Assumptions!$C$12*Assumptions!$C$22*Assumptions!$C$24*Assumptions!$C$23*12</f>
        <v>1682350</v>
      </c>
      <c r="F8" s="1" t="s">
        <v>185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>
      <c r="A10" s="1"/>
      <c r="B10" s="23" t="s">
        <v>186</v>
      </c>
      <c r="C10" s="24"/>
      <c r="D10" s="24"/>
      <c r="E10" s="24"/>
      <c r="F10" s="2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</sheetData>
  <mergeCells count="2">
    <mergeCell ref="B4:F4"/>
    <mergeCell ref="B10:F1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20"/>
  <sheetViews>
    <sheetView workbookViewId="0"/>
  </sheetViews>
  <sheetFormatPr defaultRowHeight="14.25"/>
  <cols>
    <col min="1" max="1" width="3" customWidth="1"/>
    <col min="2" max="2" width="36" customWidth="1"/>
    <col min="3" max="39" width="15" customWidth="1"/>
  </cols>
  <sheetData>
    <row r="1" spans="1:39">
      <c r="A1" s="1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ht="27.95" customHeight="1">
      <c r="A2" s="1"/>
      <c r="B2" s="2" t="s">
        <v>187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15">
      <c r="A4" s="1"/>
      <c r="B4" s="22" t="s">
        <v>188</v>
      </c>
      <c r="C4" s="22" t="s">
        <v>188</v>
      </c>
      <c r="D4" s="22" t="s">
        <v>188</v>
      </c>
      <c r="E4" s="22" t="s">
        <v>188</v>
      </c>
      <c r="F4" s="22" t="s">
        <v>188</v>
      </c>
      <c r="G4" s="22" t="s">
        <v>188</v>
      </c>
      <c r="H4" s="22" t="s">
        <v>188</v>
      </c>
      <c r="I4" s="22" t="s">
        <v>188</v>
      </c>
      <c r="J4" s="22" t="s">
        <v>188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ht="15">
      <c r="A6" s="1"/>
      <c r="B6" s="7" t="s">
        <v>189</v>
      </c>
      <c r="C6" s="7" t="s">
        <v>190</v>
      </c>
      <c r="D6" s="7" t="s">
        <v>191</v>
      </c>
      <c r="E6" s="7" t="s">
        <v>192</v>
      </c>
      <c r="F6" s="7"/>
      <c r="G6" s="7" t="s">
        <v>189</v>
      </c>
      <c r="H6" s="7" t="s">
        <v>193</v>
      </c>
      <c r="I6" s="7"/>
      <c r="J6" s="7" t="s">
        <v>189</v>
      </c>
      <c r="K6" s="1" t="s">
        <v>193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>
      <c r="A7" s="1"/>
      <c r="B7" s="1" t="s">
        <v>194</v>
      </c>
      <c r="C7" s="16">
        <f>'Annual Summary'!C7</f>
        <v>6902867.2808239013</v>
      </c>
      <c r="D7" s="16">
        <f>'Annual Summary'!D7</f>
        <v>8754504.7878591809</v>
      </c>
      <c r="E7" s="16">
        <f>'Annual Summary'!E7</f>
        <v>11618843.17537253</v>
      </c>
      <c r="F7" s="1"/>
      <c r="G7" s="16" t="s">
        <v>195</v>
      </c>
      <c r="H7" s="1">
        <f>Valuation!C6</f>
        <v>7142281.9355262183</v>
      </c>
      <c r="I7" s="1"/>
      <c r="J7" s="1" t="s">
        <v>196</v>
      </c>
      <c r="K7" s="1" t="str">
        <f>Assumptions!C5</f>
        <v>Base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>
      <c r="A8" s="1"/>
      <c r="B8" s="1" t="s">
        <v>151</v>
      </c>
      <c r="C8" s="16">
        <f>'Annual Summary'!C8</f>
        <v>2008437.2336167416</v>
      </c>
      <c r="D8" s="16">
        <f>'Annual Summary'!D8</f>
        <v>3657705.0709172664</v>
      </c>
      <c r="E8" s="16">
        <f>'Annual Summary'!E8</f>
        <v>6265389.7853211854</v>
      </c>
      <c r="F8" s="1"/>
      <c r="G8" s="16" t="s">
        <v>197</v>
      </c>
      <c r="H8" s="1">
        <f>Valuation!C9</f>
        <v>34856529.526117593</v>
      </c>
      <c r="I8" s="1"/>
      <c r="J8" s="21" t="s">
        <v>198</v>
      </c>
      <c r="K8" s="1">
        <f>'Unit Economics'!E11</f>
        <v>103.41023999999997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">
      <c r="A12" s="1"/>
      <c r="B12" s="7" t="s">
        <v>189</v>
      </c>
      <c r="C12" s="7">
        <v>2026</v>
      </c>
      <c r="D12" s="7">
        <v>2027</v>
      </c>
      <c r="E12" s="7">
        <v>2028</v>
      </c>
      <c r="F12" s="1"/>
      <c r="G12" s="1"/>
      <c r="H12" s="1"/>
      <c r="I12" s="1"/>
      <c r="J12" s="1"/>
      <c r="K12" s="1"/>
      <c r="L12" s="7" t="s">
        <v>189</v>
      </c>
      <c r="M12" s="7">
        <v>2026</v>
      </c>
      <c r="N12" s="7">
        <v>2027</v>
      </c>
      <c r="O12" s="7">
        <v>2028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>
      <c r="A13" s="1"/>
      <c r="B13" s="1" t="s">
        <v>194</v>
      </c>
      <c r="C13" s="16">
        <f>'Annual Summary'!C7</f>
        <v>6902867.2808239013</v>
      </c>
      <c r="D13" s="16">
        <f>'Annual Summary'!D7</f>
        <v>8754504.7878591809</v>
      </c>
      <c r="E13" s="16">
        <f>'Annual Summary'!E7</f>
        <v>11618843.17537253</v>
      </c>
      <c r="F13" s="1"/>
      <c r="G13" s="1"/>
      <c r="H13" s="1"/>
      <c r="I13" s="1"/>
      <c r="J13" s="1"/>
      <c r="K13" s="1"/>
      <c r="L13" s="1" t="s">
        <v>199</v>
      </c>
      <c r="M13" s="8">
        <f>'Annual Summary'!C6</f>
        <v>3108.4357709866299</v>
      </c>
      <c r="N13" s="8">
        <f>'Annual Summary'!D6</f>
        <v>3942.248160478493</v>
      </c>
      <c r="O13" s="8">
        <f>'Annual Summary'!E6</f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>
      <c r="A14" s="1"/>
      <c r="B14" s="1" t="s">
        <v>151</v>
      </c>
      <c r="C14" s="16">
        <f>'Annual Summary'!C8</f>
        <v>2008437.2336167416</v>
      </c>
      <c r="D14" s="16">
        <f>'Annual Summary'!D8</f>
        <v>3657705.0709172664</v>
      </c>
      <c r="E14" s="16">
        <f>'Annual Summary'!E8</f>
        <v>6265389.7853211854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</sheetData>
  <mergeCells count="1">
    <mergeCell ref="B4:J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120"/>
  <sheetViews>
    <sheetView workbookViewId="0"/>
  </sheetViews>
  <sheetFormatPr defaultRowHeight="14.25"/>
  <cols>
    <col min="1" max="1" width="3" customWidth="1"/>
    <col min="2" max="2" width="36" customWidth="1"/>
    <col min="3" max="3" width="85" customWidth="1"/>
    <col min="4" max="39" width="15" customWidth="1"/>
  </cols>
  <sheetData>
    <row r="1" spans="1:39">
      <c r="A1" s="1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ht="27.95" customHeight="1">
      <c r="A2" s="1"/>
      <c r="B2" s="2" t="s">
        <v>200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15">
      <c r="A4" s="1"/>
      <c r="B4" s="3" t="s">
        <v>201</v>
      </c>
      <c r="C4" s="4" t="s">
        <v>202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29.25">
      <c r="A5" s="1"/>
      <c r="B5" s="3" t="s">
        <v>203</v>
      </c>
      <c r="C5" s="4" t="s">
        <v>204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ht="15">
      <c r="A6" s="1"/>
      <c r="B6" s="3" t="s">
        <v>205</v>
      </c>
      <c r="C6" s="4" t="s">
        <v>206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5">
      <c r="A7" s="1"/>
      <c r="B7" s="3" t="s">
        <v>207</v>
      </c>
      <c r="C7" s="4" t="s">
        <v>208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ht="15">
      <c r="A8" s="1"/>
      <c r="B8" s="3" t="s">
        <v>209</v>
      </c>
      <c r="C8" s="4" t="s">
        <v>11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15">
      <c r="A9" s="1"/>
      <c r="B9" s="3" t="s">
        <v>210</v>
      </c>
      <c r="C9" s="4" t="s">
        <v>211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15">
      <c r="A10" s="1"/>
      <c r="B10" s="3" t="s">
        <v>212</v>
      </c>
      <c r="C10" s="4" t="s">
        <v>213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29.25">
      <c r="A11" s="1"/>
      <c r="B11" s="3" t="s">
        <v>214</v>
      </c>
      <c r="C11" s="4" t="s">
        <v>215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">
      <c r="A12" s="1"/>
      <c r="B12" s="3" t="s">
        <v>216</v>
      </c>
      <c r="C12" s="4" t="s">
        <v>217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">
      <c r="A13" s="1"/>
      <c r="B13" s="3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Cover</vt:lpstr>
      <vt:lpstr>Assumptions</vt:lpstr>
      <vt:lpstr>Monthly Model</vt:lpstr>
      <vt:lpstr>Annual Summary</vt:lpstr>
      <vt:lpstr>Unit Economics</vt:lpstr>
      <vt:lpstr>P&amp;L</vt:lpstr>
      <vt:lpstr>Cash Flow</vt:lpstr>
      <vt:lpstr>Valuation</vt:lpstr>
      <vt:lpstr>Sensitivity</vt:lpstr>
      <vt:lpstr>Dashboard</vt:lpstr>
      <vt:lpstr>README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Konstantinov</dc:creator>
  <cp:lastModifiedBy>Tim Konstantinov</cp:lastModifiedBy>
  <dcterms:created xsi:type="dcterms:W3CDTF">2026-05-30T22:50:44Z</dcterms:created>
  <dcterms:modified xsi:type="dcterms:W3CDTF">2026-05-30T22:50:45Z</dcterms:modified>
</cp:coreProperties>
</file>